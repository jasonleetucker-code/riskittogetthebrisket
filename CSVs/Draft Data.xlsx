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<sst xmlns="http://schemas.openxmlformats.org/spreadsheetml/2006/main" count="312" uniqueCount="178">
  <si>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</si>
  <si>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</si>
  <si>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</si>
  <si>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</si>
  <si>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</si>
  <si>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</si>
  <si>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</si>
  <si>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</si>
  <si>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New Values</t>
  </si>
  <si>
    <t>Spine</t>
  </si>
  <si>
    <t>Inflated Fair Price</t>
  </si>
  <si>
    <t>My Max Bid</t>
  </si>
  <si>
    <t>EnforceUpTo</t>
  </si>
  <si>
    <t>Value vs Fair</t>
  </si>
  <si>
    <t>Floors</t>
  </si>
  <si>
    <t>Settings</t>
  </si>
  <si>
    <t>Fractions</t>
  </si>
  <si>
    <t>Monotone Rounded</t>
  </si>
  <si>
    <t>Jeremiyah Love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</si>
  <si>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</si>
  <si>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</si>
  <si>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</si>
  <si>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</si>
  <si>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</si>
  <si>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</si>
  <si>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</si>
  <si>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</si>
  <si>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</si>
  <si>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</si>
  <si>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</si>
  <si>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</si>
  <si>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</si>
  <si>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</si>
  <si>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</si>
  <si>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</si>
  <si>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</si>
  <si>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</si>
  <si>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2</t>
  </si>
  <si>
    <t>Jadarian Price</t>
  </si>
  <si>
    <t>Avg $ per Other Team</t>
  </si>
  <si>
    <t>Eli Stowers</t>
  </si>
  <si>
    <t>Budget Advantage Factor</t>
  </si>
  <si>
    <t>Round 3</t>
  </si>
  <si>
    <t>Omar Cooper</t>
  </si>
  <si>
    <t>CJ Allen</t>
  </si>
  <si>
    <t>Undrafted Predraft$</t>
  </si>
  <si>
    <t>Arvell Reese</t>
  </si>
  <si>
    <t>Inflation Factor</t>
  </si>
  <si>
    <t>Ty Simpson</t>
  </si>
  <si>
    <t>Round 4</t>
  </si>
  <si>
    <t>Denzel Boston</t>
  </si>
  <si>
    <t>Aggression</t>
  </si>
  <si>
    <t>Caleb Downs</t>
  </si>
  <si>
    <t>David Bailey</t>
  </si>
  <si>
    <t>Round 5</t>
  </si>
  <si>
    <t>League Spent %</t>
  </si>
  <si>
    <t>Jacob Rodriguez</t>
  </si>
  <si>
    <t>Jonah Coleman</t>
  </si>
  <si>
    <t>Jake Golday</t>
  </si>
  <si>
    <t>Dillon Thieneman</t>
  </si>
  <si>
    <t>Round 6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</si>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</sst>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8</v>
      </c>
      <c r="E1" s="4" t="s">
        <v>9</v>
      </c>
      <c r="F1" s="6">
        <v>2025.0</v>
      </c>
      <c r="G1" s="6">
        <v>2024.0</v>
      </c>
      <c r="H1" s="7">
        <v>2026.0</v>
      </c>
      <c r="I1" s="8" t="s">
        <v>14</v>
      </c>
      <c r="J1" s="8" t="s">
        <v>16</v>
      </c>
      <c r="K1" s="8" t="s">
        <v>17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8" t="s">
        <v>27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8" t="s">
        <v>37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2"/>
      <c r="N4" s="12"/>
      <c r="O4" s="8" t="s">
        <v>42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2"/>
      <c r="N5" s="12"/>
      <c r="O5" s="8" t="s">
        <v>49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2"/>
      <c r="N6" s="12"/>
      <c r="O6" s="8" t="s">
        <v>54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2"/>
      <c r="N7" s="12"/>
      <c r="O7" s="8" t="s">
        <v>60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2"/>
      <c r="N11" s="12"/>
      <c r="O11" s="12"/>
      <c r="P11" s="15"/>
      <c r="Q11" s="15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2"/>
      <c r="N12" s="12"/>
      <c r="O12" s="12"/>
      <c r="P12" s="15"/>
      <c r="Q12" s="15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2"/>
      <c r="N13" s="12"/>
      <c r="O13" s="12"/>
      <c r="P13" s="15"/>
      <c r="Q13" s="15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2"/>
      <c r="N14" s="12"/>
      <c r="O14" s="12"/>
      <c r="P14" s="15"/>
      <c r="Q14" s="15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8" t="s">
        <v>131</v>
      </c>
      <c r="U65" s="15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124</v>
      </c>
      <c r="U72" s="15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123</v>
      </c>
      <c r="U73" s="15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122</v>
      </c>
      <c r="U74" s="15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18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50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52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46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56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57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38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40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58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10</v>
      </c>
      <c r="G1" s="5" t="s">
        <v>11</v>
      </c>
      <c r="H1" s="5" t="s">
        <v>12</v>
      </c>
      <c r="I1" s="2" t="s">
        <v>13</v>
      </c>
      <c r="K1" s="2" t="s">
        <v>15</v>
      </c>
    </row>
    <row r="2">
      <c r="A2" s="2">
        <v>1.0</v>
      </c>
      <c r="B2" s="9" t="s">
        <v>18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1">
        <v>82.5</v>
      </c>
      <c r="E5" s="18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9" t="s">
        <v>29</v>
      </c>
      <c r="C6" s="11">
        <v>76.0</v>
      </c>
      <c r="E6" s="18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8">
        <f>L2-L5
</f>
        <v>1200</v>
      </c>
    </row>
    <row r="7">
      <c r="A7" s="2">
        <v>6.0</v>
      </c>
      <c r="B7" s="9" t="s">
        <v>31</v>
      </c>
      <c r="C7" s="11">
        <v>66.5</v>
      </c>
      <c r="E7" s="18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32</v>
      </c>
      <c r="L7" s="18">
        <f>SUMIF($E$2:$E$500,TRUE,$D$2:$D$500)</f>
        <v>0</v>
      </c>
    </row>
    <row r="8">
      <c r="A8" s="2">
        <v>7.0</v>
      </c>
      <c r="B8" s="9" t="s">
        <v>33</v>
      </c>
      <c r="C8" s="11">
        <v>57.5</v>
      </c>
      <c r="E8" s="18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34</v>
      </c>
      <c r="L8" s="11">
        <f>L4-L7
</f>
        <v>180</v>
      </c>
    </row>
    <row r="9">
      <c r="A9" s="2">
        <v>8.0</v>
      </c>
      <c r="B9" s="9" t="s">
        <v>35</v>
      </c>
      <c r="C9" s="11">
        <v>53.0</v>
      </c>
      <c r="E9" s="18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36</v>
      </c>
      <c r="L9" s="11">
        <f>L6-L8
</f>
        <v>1020</v>
      </c>
    </row>
    <row r="10">
      <c r="A10" s="2">
        <v>9.0</v>
      </c>
      <c r="B10" s="9" t="s">
        <v>38</v>
      </c>
      <c r="C10" s="11">
        <v>48.0</v>
      </c>
      <c r="E10" s="18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39</v>
      </c>
      <c r="L10" s="11">
        <f>IF(L3&gt;1,L9/(L3-1),0)</f>
        <v>92.72727273</v>
      </c>
    </row>
    <row r="11">
      <c r="A11" s="2">
        <v>10.0</v>
      </c>
      <c r="B11" s="9" t="s">
        <v>40</v>
      </c>
      <c r="C11" s="11">
        <v>43.0</v>
      </c>
      <c r="E11" s="18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9" t="s">
        <v>43</v>
      </c>
      <c r="C12" s="11">
        <v>39.0</v>
      </c>
      <c r="E12" s="18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9" t="s">
        <v>44</v>
      </c>
      <c r="C13" s="11">
        <v>34.0</v>
      </c>
      <c r="E13" s="18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45</v>
      </c>
      <c r="L13" s="18">
        <f>SUMIF($D$2:$D$73,"",$C$2:$C$73)</f>
        <v>1200</v>
      </c>
    </row>
    <row r="14">
      <c r="A14" s="2">
        <v>13.0</v>
      </c>
      <c r="B14" s="9" t="s">
        <v>46</v>
      </c>
      <c r="C14" s="11">
        <v>30.5</v>
      </c>
      <c r="E14" s="18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9" t="s">
        <v>48</v>
      </c>
      <c r="C15" s="11">
        <v>27.5</v>
      </c>
      <c r="E15" s="18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9" t="s">
        <v>50</v>
      </c>
      <c r="C16" s="11">
        <v>25.5</v>
      </c>
      <c r="E16" s="18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51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52</v>
      </c>
      <c r="C17" s="11">
        <v>22.5</v>
      </c>
      <c r="E17" s="18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9" t="s">
        <v>53</v>
      </c>
      <c r="C18" s="11">
        <v>20.0</v>
      </c>
      <c r="E18" s="18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55</v>
      </c>
      <c r="L18" s="20">
        <f>L5/L2</f>
        <v>0</v>
      </c>
    </row>
    <row r="19">
      <c r="A19" s="2">
        <v>18.0</v>
      </c>
      <c r="B19" s="9" t="s">
        <v>56</v>
      </c>
      <c r="C19" s="11">
        <v>18.5</v>
      </c>
      <c r="E19" s="18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9" t="s">
        <v>57</v>
      </c>
      <c r="C20" s="11">
        <v>16.5</v>
      </c>
      <c r="E20" s="18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9" t="s">
        <v>58</v>
      </c>
      <c r="C21" s="11">
        <v>14.5</v>
      </c>
      <c r="E21" s="18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9" t="s">
        <v>59</v>
      </c>
      <c r="C22" s="11">
        <v>13.5</v>
      </c>
      <c r="E22" s="18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9" t="s">
        <v>61</v>
      </c>
      <c r="C23" s="11">
        <v>12.0</v>
      </c>
      <c r="E23" s="18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9" t="s">
        <v>62</v>
      </c>
      <c r="C24" s="11">
        <v>11.0</v>
      </c>
      <c r="E24" s="18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9" t="s">
        <v>63</v>
      </c>
      <c r="C25" s="11">
        <v>10.0</v>
      </c>
      <c r="E25" s="18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9" t="s">
        <v>64</v>
      </c>
      <c r="C26" s="11">
        <v>9.5</v>
      </c>
      <c r="E26" s="18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9" t="s">
        <v>65</v>
      </c>
      <c r="C27" s="11">
        <v>8.5</v>
      </c>
      <c r="E27" s="18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1">
        <v>8.0</v>
      </c>
      <c r="E28" s="18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9" t="s">
        <v>68</v>
      </c>
      <c r="C29" s="11">
        <v>7.0</v>
      </c>
      <c r="E29" s="18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9" t="s">
        <v>69</v>
      </c>
      <c r="C30" s="11">
        <v>6.5</v>
      </c>
      <c r="E30" s="18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9" t="s">
        <v>70</v>
      </c>
      <c r="C31" s="11">
        <v>6.0</v>
      </c>
      <c r="E31" s="18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9" t="s">
        <v>71</v>
      </c>
      <c r="C32" s="11">
        <v>5.5</v>
      </c>
      <c r="E32" s="18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9" t="s">
        <v>72</v>
      </c>
      <c r="C33" s="11">
        <v>5.0</v>
      </c>
      <c r="E33" s="18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9" t="s">
        <v>73</v>
      </c>
      <c r="C34" s="11">
        <v>4.5</v>
      </c>
      <c r="E34" s="18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9" t="s">
        <v>74</v>
      </c>
      <c r="C35" s="11">
        <v>4.5</v>
      </c>
      <c r="E35" s="18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9" t="s">
        <v>75</v>
      </c>
      <c r="C36" s="11">
        <v>4.0</v>
      </c>
      <c r="E36" s="18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9" t="s">
        <v>76</v>
      </c>
      <c r="C37" s="11">
        <v>4.0</v>
      </c>
      <c r="E37" s="18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9" t="s">
        <v>77</v>
      </c>
      <c r="C38" s="11">
        <v>3.5</v>
      </c>
      <c r="E38" s="18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9" t="s">
        <v>78</v>
      </c>
      <c r="C39" s="11">
        <v>3.5</v>
      </c>
      <c r="E39" s="18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9" t="s">
        <v>79</v>
      </c>
      <c r="C40" s="11">
        <v>3.0</v>
      </c>
      <c r="E40" s="18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9" t="s">
        <v>80</v>
      </c>
      <c r="C41" s="11">
        <v>3.0</v>
      </c>
      <c r="E41" s="18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9" t="s">
        <v>81</v>
      </c>
      <c r="C42" s="11">
        <v>2.5</v>
      </c>
      <c r="E42" s="18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9" t="s">
        <v>82</v>
      </c>
      <c r="C43" s="11">
        <v>2.5</v>
      </c>
      <c r="E43" s="18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9" t="s">
        <v>83</v>
      </c>
      <c r="C44" s="11">
        <v>2.5</v>
      </c>
      <c r="E44" s="18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9" t="s">
        <v>84</v>
      </c>
      <c r="C45" s="11">
        <v>2.5</v>
      </c>
      <c r="E45" s="18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8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8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8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9" t="s">
        <v>88</v>
      </c>
      <c r="C49" s="11">
        <v>2.0</v>
      </c>
      <c r="E49" s="18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9" t="s">
        <v>89</v>
      </c>
      <c r="C50" s="11">
        <v>2.0</v>
      </c>
      <c r="E50" s="18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9" t="s">
        <v>90</v>
      </c>
      <c r="C51" s="11">
        <v>2.0</v>
      </c>
      <c r="E51" s="18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9" t="s">
        <v>91</v>
      </c>
      <c r="C52" s="11">
        <v>2.0</v>
      </c>
      <c r="E52" s="18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9" t="s">
        <v>92</v>
      </c>
      <c r="C53" s="11">
        <v>2.0</v>
      </c>
      <c r="E53" s="18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9" t="s">
        <v>93</v>
      </c>
      <c r="C54" s="11">
        <v>2.0</v>
      </c>
      <c r="E54" s="18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9" t="s">
        <v>94</v>
      </c>
      <c r="C55" s="11">
        <v>2.0</v>
      </c>
      <c r="E55" s="18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9" t="s">
        <v>95</v>
      </c>
      <c r="C56" s="11">
        <v>2.0</v>
      </c>
      <c r="E56" s="18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9" t="s">
        <v>96</v>
      </c>
      <c r="C57" s="11">
        <v>2.0</v>
      </c>
      <c r="E57" s="18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9" t="s">
        <v>97</v>
      </c>
      <c r="C58" s="11">
        <v>2.0</v>
      </c>
      <c r="E58" s="18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9" t="s">
        <v>98</v>
      </c>
      <c r="C59" s="11">
        <v>2.0</v>
      </c>
      <c r="E59" s="18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9" t="s">
        <v>99</v>
      </c>
      <c r="C60" s="11">
        <v>2.0</v>
      </c>
      <c r="E60" s="18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9" t="s">
        <v>100</v>
      </c>
      <c r="C61" s="11">
        <v>2.0</v>
      </c>
      <c r="E61" s="18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9" t="s">
        <v>101</v>
      </c>
      <c r="C62" s="11">
        <v>1.0</v>
      </c>
      <c r="E62" s="18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9" t="s">
        <v>102</v>
      </c>
      <c r="C63" s="11">
        <v>1.0</v>
      </c>
      <c r="E63" s="18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9" t="s">
        <v>103</v>
      </c>
      <c r="C64" s="11">
        <v>1.0</v>
      </c>
      <c r="E64" s="18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9" t="s">
        <v>104</v>
      </c>
      <c r="C65" s="11">
        <v>1.0</v>
      </c>
      <c r="E65" s="18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9" t="s">
        <v>105</v>
      </c>
      <c r="C66" s="11">
        <v>1.0</v>
      </c>
      <c r="E66" s="18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9" t="s">
        <v>106</v>
      </c>
      <c r="C67" s="11">
        <v>1.0</v>
      </c>
      <c r="E67" s="18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9" t="s">
        <v>107</v>
      </c>
      <c r="C68" s="11">
        <v>1.0</v>
      </c>
      <c r="E68" s="18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9" t="s">
        <v>108</v>
      </c>
      <c r="C69" s="11">
        <v>1.0</v>
      </c>
      <c r="E69" s="18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9" t="s">
        <v>109</v>
      </c>
      <c r="C70" s="11">
        <v>1.0</v>
      </c>
      <c r="E70" s="18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9" t="s">
        <v>110</v>
      </c>
      <c r="C71" s="11">
        <v>1.0</v>
      </c>
      <c r="E71" s="18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9" t="s">
        <v>111</v>
      </c>
      <c r="C72" s="11">
        <v>1.0</v>
      </c>
      <c r="E72" s="18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112</v>
      </c>
      <c r="C73" s="11">
        <v>1.0</v>
      </c>
      <c r="E73" s="18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