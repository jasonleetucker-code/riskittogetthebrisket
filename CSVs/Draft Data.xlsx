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<sst xmlns="http://schemas.openxmlformats.org/spreadsheetml/2006/main" count="312" uniqueCount="178">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</sst>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6"/>
      <c r="AD3" s="6"/>
    </row>
    <row r="4">
      <c r="A4" s="13">
        <v>1.03</v>
      </c>
      <c r="B4" s="10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9"/>
      <c r="N4" s="9"/>
      <c r="O4" s="6" t="s">
        <v>53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6"/>
      <c r="AD4" s="6"/>
    </row>
    <row r="5">
      <c r="A5" s="13">
        <v>1.04</v>
      </c>
      <c r="B5" s="10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9"/>
      <c r="N5" s="9"/>
      <c r="O5" s="6" t="s">
        <v>59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6"/>
      <c r="AD5" s="6"/>
    </row>
    <row r="6">
      <c r="A6" s="13">
        <v>1.05</v>
      </c>
      <c r="B6" s="10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9"/>
      <c r="N6" s="9"/>
      <c r="O6" s="6" t="s">
        <v>66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6"/>
      <c r="AD6" s="6"/>
    </row>
    <row r="7">
      <c r="A7" s="13">
        <v>1.06</v>
      </c>
      <c r="B7" s="10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9"/>
      <c r="N7" s="9"/>
      <c r="O7" s="6" t="s">
        <v>72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6"/>
      <c r="AD7" s="6"/>
    </row>
    <row r="8">
      <c r="A8" s="13">
        <v>1.07</v>
      </c>
      <c r="B8" s="10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9"/>
      <c r="N8" s="9"/>
      <c r="O8" s="9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6"/>
      <c r="AD8" s="6"/>
    </row>
    <row r="9">
      <c r="A9" s="13">
        <v>1.08</v>
      </c>
      <c r="B9" s="10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9"/>
      <c r="N10" s="9"/>
      <c r="O10" s="9"/>
      <c r="P10" s="17"/>
      <c r="Q10" s="17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9"/>
      <c r="N11" s="9"/>
      <c r="O11" s="9"/>
      <c r="P11" s="17"/>
      <c r="Q11" s="17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9"/>
      <c r="N12" s="9"/>
      <c r="O12" s="9"/>
      <c r="P12" s="17"/>
      <c r="Q12" s="17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9"/>
      <c r="N13" s="9"/>
      <c r="O13" s="9"/>
      <c r="P13" s="17"/>
      <c r="Q13" s="17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9"/>
      <c r="N14" s="9"/>
      <c r="O14" s="9"/>
      <c r="P14" s="17"/>
      <c r="Q14" s="17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9"/>
      <c r="N15" s="9"/>
      <c r="O15" s="9"/>
      <c r="P15" s="17"/>
      <c r="Q15" s="17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9"/>
      <c r="N16" s="9"/>
      <c r="O16" s="9"/>
      <c r="P16" s="17"/>
      <c r="Q16" s="17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9" t="str">
        <f t="shared" si="21"/>
        <v>Kich</v>
      </c>
      <c r="S63" s="9"/>
      <c r="T63" s="9" t="s">
        <v>133</v>
      </c>
      <c r="U63" s="17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9" t="str">
        <f t="shared" si="21"/>
        <v>Ty</v>
      </c>
      <c r="S64" s="9"/>
      <c r="T64" s="9" t="s">
        <v>132</v>
      </c>
      <c r="U64" s="17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9" t="str">
        <f t="shared" si="21"/>
        <v>MaKayla</v>
      </c>
      <c r="S65" s="9"/>
      <c r="T65" s="6" t="s">
        <v>131</v>
      </c>
      <c r="U65" s="17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9" t="str">
        <f t="shared" si="21"/>
        <v>Joey</v>
      </c>
      <c r="S66" s="9"/>
      <c r="T66" s="9" t="s">
        <v>130</v>
      </c>
      <c r="U66" s="17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9" t="str">
        <f t="shared" si="21"/>
        <v>Brent</v>
      </c>
      <c r="S67" s="9"/>
      <c r="T67" s="9" t="s">
        <v>129</v>
      </c>
      <c r="U67" s="17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9" t="str">
        <f t="shared" si="21"/>
        <v>Ed</v>
      </c>
      <c r="S68" s="9"/>
      <c r="T68" s="9" t="s">
        <v>128</v>
      </c>
      <c r="U68" s="17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9" t="str">
        <f t="shared" si="21"/>
        <v>Joel</v>
      </c>
      <c r="S69" s="9"/>
      <c r="T69" s="9" t="s">
        <v>127</v>
      </c>
      <c r="U69" s="17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7">
        <f t="shared" si="20"/>
        <v>9</v>
      </c>
      <c r="R70" s="9" t="str">
        <f t="shared" si="21"/>
        <v>Blaine</v>
      </c>
      <c r="S70" s="9"/>
      <c r="T70" s="9" t="s">
        <v>126</v>
      </c>
      <c r="U70" s="17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7">
        <f t="shared" si="20"/>
        <v>7</v>
      </c>
      <c r="R71" s="9" t="str">
        <f t="shared" si="21"/>
        <v>Jason</v>
      </c>
      <c r="S71" s="9"/>
      <c r="T71" s="9" t="s">
        <v>125</v>
      </c>
      <c r="U71" s="17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7">
        <f t="shared" si="20"/>
        <v>7</v>
      </c>
      <c r="R72" s="9" t="str">
        <f t="shared" si="21"/>
        <v>Roy</v>
      </c>
      <c r="S72" s="9"/>
      <c r="T72" s="9" t="s">
        <v>124</v>
      </c>
      <c r="U72" s="17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9" t="str">
        <f t="shared" si="21"/>
        <v>Collin</v>
      </c>
      <c r="S73" s="9"/>
      <c r="T73" s="9" t="s">
        <v>123</v>
      </c>
      <c r="U73" s="17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7">
        <f>Sum(D2:D73)</f>
        <v>1200</v>
      </c>
      <c r="E74" s="3"/>
      <c r="F74" s="17">
        <v>1200.0</v>
      </c>
      <c r="G74" s="17">
        <v>1200.0</v>
      </c>
      <c r="H74" s="17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9" t="str">
        <f t="shared" si="21"/>
        <v>Eric</v>
      </c>
      <c r="S74" s="9"/>
      <c r="T74" s="9" t="s">
        <v>122</v>
      </c>
      <c r="U74" s="17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9" t="str">
        <f t="shared" si="21"/>
        <v>Kich</v>
      </c>
      <c r="S75" s="9"/>
      <c r="T75" s="9"/>
      <c r="U75" s="17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9" t="str">
        <f t="shared" si="21"/>
        <v>Brent</v>
      </c>
      <c r="S79" s="9"/>
      <c r="T79" s="9"/>
      <c r="U79" s="17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9" t="str">
        <f t="shared" si="21"/>
        <v>Ed</v>
      </c>
      <c r="S80" s="9"/>
      <c r="T80" s="9"/>
      <c r="U80" s="17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9" t="str">
        <f t="shared" si="21"/>
        <v>Joel</v>
      </c>
      <c r="S81" s="9"/>
      <c r="T81" s="9"/>
      <c r="U81" s="17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9" t="str">
        <f t="shared" si="21"/>
        <v>Blaine</v>
      </c>
      <c r="S82" s="9"/>
      <c r="T82" s="9"/>
      <c r="U82" s="17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7">
        <f t="shared" si="20"/>
        <v>3</v>
      </c>
      <c r="R83" s="9" t="str">
        <f t="shared" si="21"/>
        <v>Jason</v>
      </c>
      <c r="S83" s="9"/>
      <c r="T83" s="9"/>
      <c r="U83" s="17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7">
        <f t="shared" si="20"/>
        <v>3</v>
      </c>
      <c r="R84" s="9" t="str">
        <f t="shared" si="21"/>
        <v>Roy</v>
      </c>
      <c r="S84" s="9"/>
      <c r="T84" s="9"/>
      <c r="U84" s="17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7">
        <f t="shared" si="20"/>
        <v>3</v>
      </c>
      <c r="R85" s="9" t="str">
        <f t="shared" si="21"/>
        <v>Collin</v>
      </c>
      <c r="S85" s="9"/>
      <c r="T85" s="9"/>
      <c r="U85" s="17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9" t="str">
        <f t="shared" si="21"/>
        <v>Eric</v>
      </c>
      <c r="S86" s="9"/>
      <c r="T86" s="9"/>
      <c r="U86" s="17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9" t="str">
        <f t="shared" si="21"/>
        <v>Kich</v>
      </c>
      <c r="S87" s="9"/>
      <c r="T87" s="9"/>
      <c r="U87" s="17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9" t="str">
        <f t="shared" si="21"/>
        <v>Ty</v>
      </c>
      <c r="S88" s="9"/>
      <c r="T88" s="9"/>
      <c r="U88" s="17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7">
        <f t="shared" si="20"/>
        <v>2</v>
      </c>
      <c r="R89" s="9" t="str">
        <f t="shared" si="21"/>
        <v>MaKayla</v>
      </c>
      <c r="S89" s="9"/>
      <c r="T89" s="9"/>
      <c r="U89" s="17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9" t="str">
        <f t="shared" si="21"/>
        <v>Joey</v>
      </c>
      <c r="S90" s="9"/>
      <c r="T90" s="9"/>
      <c r="U90" s="17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7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7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7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7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7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7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7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7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6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32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47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50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51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34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54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55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57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36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46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67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68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62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56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60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71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61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70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65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6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6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6">
        <f>SUM($D$2:$D$500)
</f>
        <v>0</v>
      </c>
    </row>
    <row r="6">
      <c r="A6" s="7">
        <v>5.0</v>
      </c>
      <c r="B6" s="11" t="s">
        <v>28</v>
      </c>
      <c r="C6" s="12">
        <v>76.0</v>
      </c>
      <c r="E6" s="16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6">
        <f>L2-L5
</f>
        <v>1200</v>
      </c>
    </row>
    <row r="7">
      <c r="A7" s="7">
        <v>6.0</v>
      </c>
      <c r="B7" s="11" t="s">
        <v>30</v>
      </c>
      <c r="C7" s="12">
        <v>66.5</v>
      </c>
      <c r="E7" s="16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31</v>
      </c>
      <c r="L7" s="16">
        <f>SUMIF($E$2:$E$500,TRUE,$D$2:$D$500)</f>
        <v>0</v>
      </c>
    </row>
    <row r="8">
      <c r="A8" s="7">
        <v>7.0</v>
      </c>
      <c r="B8" s="11" t="s">
        <v>32</v>
      </c>
      <c r="C8" s="12">
        <v>57.5</v>
      </c>
      <c r="E8" s="16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33</v>
      </c>
      <c r="L8" s="12">
        <f>L4-L7
</f>
        <v>180</v>
      </c>
    </row>
    <row r="9">
      <c r="A9" s="7">
        <v>8.0</v>
      </c>
      <c r="B9" s="11" t="s">
        <v>34</v>
      </c>
      <c r="C9" s="12">
        <v>53.0</v>
      </c>
      <c r="E9" s="16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35</v>
      </c>
      <c r="L9" s="12">
        <f>L6-L8
</f>
        <v>1020</v>
      </c>
    </row>
    <row r="10">
      <c r="A10" s="7">
        <v>9.0</v>
      </c>
      <c r="B10" s="11" t="s">
        <v>36</v>
      </c>
      <c r="C10" s="12">
        <v>48.0</v>
      </c>
      <c r="E10" s="16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37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6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6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42</v>
      </c>
      <c r="C13" s="12">
        <v>34.0</v>
      </c>
      <c r="E13" s="16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6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6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45</v>
      </c>
      <c r="L14" s="19">
        <f>IF(L13&gt;0,L6/L13,1)</f>
        <v>1</v>
      </c>
    </row>
    <row r="15">
      <c r="A15" s="7">
        <v>14.0</v>
      </c>
      <c r="B15" s="11" t="s">
        <v>46</v>
      </c>
      <c r="C15" s="12">
        <v>27.5</v>
      </c>
      <c r="E15" s="16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47</v>
      </c>
      <c r="C16" s="12">
        <v>25.5</v>
      </c>
      <c r="E16" s="16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48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50</v>
      </c>
      <c r="C17" s="12">
        <v>22.5</v>
      </c>
      <c r="E17" s="16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51</v>
      </c>
      <c r="C18" s="12">
        <v>20.0</v>
      </c>
      <c r="E18" s="16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52</v>
      </c>
      <c r="L18" s="20">
        <f>L5/L2</f>
        <v>0</v>
      </c>
    </row>
    <row r="19">
      <c r="A19" s="7">
        <v>18.0</v>
      </c>
      <c r="B19" s="11" t="s">
        <v>54</v>
      </c>
      <c r="C19" s="12">
        <v>18.5</v>
      </c>
      <c r="E19" s="16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55</v>
      </c>
      <c r="C20" s="12">
        <v>16.5</v>
      </c>
      <c r="E20" s="16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56</v>
      </c>
      <c r="C21" s="12">
        <v>14.5</v>
      </c>
      <c r="E21" s="16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57</v>
      </c>
      <c r="C22" s="12">
        <v>13.5</v>
      </c>
      <c r="E22" s="16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58</v>
      </c>
      <c r="C23" s="12">
        <v>12.0</v>
      </c>
      <c r="E23" s="16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60</v>
      </c>
      <c r="C24" s="12">
        <v>11.0</v>
      </c>
      <c r="E24" s="16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61</v>
      </c>
      <c r="C25" s="12">
        <v>10.0</v>
      </c>
      <c r="E25" s="16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62</v>
      </c>
      <c r="C26" s="12">
        <v>9.5</v>
      </c>
      <c r="E26" s="16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63</v>
      </c>
      <c r="C27" s="12">
        <v>8.5</v>
      </c>
      <c r="E27" s="16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64</v>
      </c>
      <c r="L27" s="7">
        <v>0.8</v>
      </c>
    </row>
    <row r="28">
      <c r="A28" s="7">
        <v>27.0</v>
      </c>
      <c r="B28" s="11" t="s">
        <v>65</v>
      </c>
      <c r="C28" s="12">
        <v>8.0</v>
      </c>
      <c r="E28" s="16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67</v>
      </c>
      <c r="C29" s="12">
        <v>7.0</v>
      </c>
      <c r="E29" s="16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68</v>
      </c>
      <c r="C30" s="12">
        <v>6.5</v>
      </c>
      <c r="E30" s="16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69</v>
      </c>
      <c r="C31" s="12">
        <v>6.0</v>
      </c>
      <c r="E31" s="16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70</v>
      </c>
      <c r="C32" s="12">
        <v>5.5</v>
      </c>
      <c r="E32" s="16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71</v>
      </c>
      <c r="C33" s="12">
        <v>5.0</v>
      </c>
      <c r="E33" s="16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6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6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6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6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6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6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6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6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6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6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6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6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6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6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6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6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6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6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6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6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6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6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6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6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6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6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6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6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6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6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6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6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6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6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6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6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6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6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6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6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