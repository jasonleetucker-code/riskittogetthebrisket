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<sst xmlns="http://schemas.openxmlformats.org/spreadsheetml/2006/main" count="312" uniqueCount="178">
  <si>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</si>
  <si>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</si>
  <si>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</si>
  <si>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</si>
  <si>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</si>
  <si>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</si>
  <si>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</si>
  <si>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</si>
  <si>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</si>
  <si>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</si>
  <si>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</si>
  <si>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</si>
  <si>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</si>
  <si>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</si>
  <si>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</si>
  <si>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</si>
  <si>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</si>
  <si>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</si>
  <si>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</si>
  <si>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</si>
  <si>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</si>
  <si>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</si>
  <si>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</si>
  <si>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</si>
  <si>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</si>
  <si>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</si>
  <si>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</si>
  <si>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</si>
  <si>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</si>
  <si>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</si>
  <si>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</si>
  <si>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</si>
  <si>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</si>
  <si>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</si>
  <si>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</si>
  <si>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</si>
  <si>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</si>
  <si>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</si>
  <si>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</si>
  <si>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</si>
  <si>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</si>
  <si>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</si>
  <si>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1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</si>
  <si>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</si>
  <si>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</si>
  <si>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</si>
  <si>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</si>
  <si>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</si>
  <si>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</si>
  <si>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</si>
  <si>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</si>
  <si>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</si>
  <si>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</si>
  <si>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</si>
  <si>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</si>
  <si>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</si>
  <si>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</si>
  <si>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</si>
  <si>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</si>
  <si>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</si>
  <si>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</si>
  <si>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</si>
  <si>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</si>
  <si>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</si>
  <si>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</si>
  <si>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3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</si>
  <si>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</si>
  <si>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</si>
  <si>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</si>
  <si>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</si>
  <si>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</si>
  <si>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</si>
  <si>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</si>
  <si>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</si>
  <si>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</si>
  <si>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Round 4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</si>
  <si>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</si>
  <si>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</si>
  <si>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</si>
  <si>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</si>
  <si>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</si>
  <si>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</si>
  <si>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</si>
  <si>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</si>
  <si>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</si>
  <si>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</si>
  <si>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</si>
  <si>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5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</si>
  <si>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</si>
  <si>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</si>
  <si>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</si>
  <si>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</si>
  <si>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</si>
  <si>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</si>
  <si>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</si>
  <si>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</si>
  <si>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</si>
  <si>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</si>
  <si>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Round 6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</si>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</sst>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10"/>
      <c r="O1" s="6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9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9">
        <f t="shared" ref="L2:L74" si="7">D2</f>
        <v>134.5</v>
      </c>
      <c r="M2" s="10"/>
      <c r="N2" s="10"/>
      <c r="O2" s="6" t="s">
        <v>42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9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0"/>
      <c r="N3" s="10"/>
      <c r="O3" s="6" t="s">
        <v>54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9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9">
        <f t="shared" si="7"/>
        <v>93</v>
      </c>
      <c r="M4" s="10"/>
      <c r="N4" s="10"/>
      <c r="O4" s="6" t="s">
        <v>65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9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9">
        <f t="shared" si="7"/>
        <v>80.5</v>
      </c>
      <c r="M5" s="10"/>
      <c r="N5" s="10"/>
      <c r="O5" s="6" t="s">
        <v>75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9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9">
        <f t="shared" si="7"/>
        <v>75.5</v>
      </c>
      <c r="M6" s="10"/>
      <c r="N6" s="10"/>
      <c r="O6" s="6" t="s">
        <v>87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9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9">
        <f t="shared" si="7"/>
        <v>68.5</v>
      </c>
      <c r="M7" s="10"/>
      <c r="N7" s="10"/>
      <c r="O7" s="6" t="s">
        <v>98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9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9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9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9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9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9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9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9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9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9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9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9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9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9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9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9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9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9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9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9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9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9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9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9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9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9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9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9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9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9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9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9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9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9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9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9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9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9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9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9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9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9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9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9">
        <f t="shared" si="7"/>
        <v>7</v>
      </c>
      <c r="M29" s="10"/>
      <c r="N29" s="10"/>
      <c r="O29" s="6" t="s">
        <v>113</v>
      </c>
      <c r="P29" s="6" t="s">
        <v>114</v>
      </c>
      <c r="Q29" s="10"/>
      <c r="R29" s="6" t="s">
        <v>115</v>
      </c>
      <c r="S29" s="6" t="s">
        <v>116</v>
      </c>
      <c r="T29" s="6" t="s">
        <v>117</v>
      </c>
      <c r="U29" s="10"/>
      <c r="V29" s="6" t="s">
        <v>118</v>
      </c>
      <c r="W29" s="6" t="s">
        <v>119</v>
      </c>
      <c r="X29" s="6" t="s">
        <v>120</v>
      </c>
      <c r="Y29" s="6" t="s">
        <v>121</v>
      </c>
      <c r="Z29" s="10"/>
      <c r="AA29" s="10"/>
      <c r="AB29" s="10"/>
      <c r="AC29" s="10"/>
      <c r="AD29" s="10"/>
    </row>
    <row r="30">
      <c r="A30" s="13">
        <v>3.05</v>
      </c>
      <c r="B30" s="9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9">
        <f t="shared" si="7"/>
        <v>6.5</v>
      </c>
      <c r="M30" s="10"/>
      <c r="N30" s="10"/>
      <c r="O30" s="4">
        <v>1.0</v>
      </c>
      <c r="P30" s="6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9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9">
        <f t="shared" si="7"/>
        <v>6.5</v>
      </c>
      <c r="M31" s="10"/>
      <c r="N31" s="10"/>
      <c r="O31" s="4">
        <v>2.0</v>
      </c>
      <c r="P31" s="6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9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9">
        <f t="shared" si="7"/>
        <v>5.5</v>
      </c>
      <c r="M32" s="10"/>
      <c r="N32" s="10"/>
      <c r="O32" s="4">
        <v>3.0</v>
      </c>
      <c r="P32" s="6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9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9">
        <f t="shared" si="7"/>
        <v>5.5</v>
      </c>
      <c r="M33" s="10"/>
      <c r="N33" s="10"/>
      <c r="O33" s="4">
        <v>4.0</v>
      </c>
      <c r="P33" s="6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9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9">
        <f t="shared" si="7"/>
        <v>4.5</v>
      </c>
      <c r="M34" s="10"/>
      <c r="N34" s="10"/>
      <c r="O34" s="4">
        <v>5.0</v>
      </c>
      <c r="P34" s="6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9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9">
        <f t="shared" si="7"/>
        <v>4.5</v>
      </c>
      <c r="M35" s="10"/>
      <c r="N35" s="10"/>
      <c r="O35" s="4">
        <v>6.0</v>
      </c>
      <c r="P35" s="6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9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9">
        <f t="shared" si="7"/>
        <v>4.5</v>
      </c>
      <c r="M36" s="10"/>
      <c r="N36" s="10"/>
      <c r="O36" s="4">
        <v>7.0</v>
      </c>
      <c r="P36" s="6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9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9">
        <f t="shared" si="7"/>
        <v>4</v>
      </c>
      <c r="M37" s="10"/>
      <c r="N37" s="10"/>
      <c r="O37" s="4">
        <v>8.0</v>
      </c>
      <c r="P37" s="6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9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9">
        <f t="shared" si="7"/>
        <v>3.5</v>
      </c>
      <c r="M38" s="10"/>
      <c r="N38" s="10"/>
      <c r="O38" s="4">
        <v>9.0</v>
      </c>
      <c r="P38" s="6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9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9">
        <f t="shared" si="7"/>
        <v>3.5</v>
      </c>
      <c r="M39" s="10"/>
      <c r="N39" s="10"/>
      <c r="O39" s="4">
        <v>10.0</v>
      </c>
      <c r="P39" s="6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9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9">
        <f t="shared" si="7"/>
        <v>3</v>
      </c>
      <c r="M40" s="10"/>
      <c r="N40" s="10"/>
      <c r="O40" s="4">
        <v>11.0</v>
      </c>
      <c r="P40" s="6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9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9">
        <f t="shared" si="7"/>
        <v>3</v>
      </c>
      <c r="M41" s="10"/>
      <c r="N41" s="10"/>
      <c r="O41" s="4">
        <v>12.0</v>
      </c>
      <c r="P41" s="6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9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9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9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9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9">
        <f t="shared" si="7"/>
        <v>2.5</v>
      </c>
      <c r="M44" s="10"/>
      <c r="N44" s="10"/>
      <c r="O44" s="6" t="s">
        <v>118</v>
      </c>
      <c r="P44" s="6" t="s">
        <v>19</v>
      </c>
      <c r="Q44" s="6" t="s">
        <v>134</v>
      </c>
      <c r="R44" s="6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9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9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9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9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9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9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9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9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9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9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9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9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9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9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9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9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9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9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9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9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9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9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9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9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9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9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9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9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9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9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9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9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9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9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9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9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9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9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9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9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9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9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6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9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9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9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9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9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9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9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9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9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9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9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9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9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9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9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6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6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6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6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6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6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6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6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6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6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6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6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6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6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6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6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6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6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6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6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6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6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6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6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6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6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6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6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6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6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6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6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6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6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6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6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6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6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6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6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6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6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6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6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6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6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6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6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6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49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6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6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50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6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6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6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6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52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6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53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6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56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6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81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6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6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6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38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6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6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64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6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66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6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60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6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6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6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55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6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58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6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69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6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6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71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6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89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6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79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6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6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6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59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6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68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6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74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6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63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6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72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6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6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6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85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6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6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77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6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6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6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6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6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6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84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6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6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73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6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6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6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6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6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94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6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6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93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6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6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6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6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83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6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6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6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6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6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6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6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6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97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6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6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6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6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6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6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6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6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6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6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6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6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6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6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6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6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6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6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6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6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6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6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6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6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6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6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6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6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6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6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6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6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6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6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6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6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6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6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6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6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6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6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6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6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6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6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6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6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6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6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6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6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6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6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6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6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6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6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6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6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6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6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6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6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6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6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6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6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6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6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6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6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6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6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6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6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6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6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6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6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6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6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6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6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6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6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6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6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6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6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6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6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6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6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6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6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6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6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6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6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6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6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6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6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6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6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6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6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6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6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6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6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6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6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6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6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6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6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6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6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6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6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6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6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6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6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6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6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6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6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6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6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6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6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6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6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6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6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6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6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6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6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6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6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6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6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6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6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6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6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6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6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6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6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6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6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6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6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6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6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6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6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6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6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6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6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6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6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6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6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6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6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6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6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6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6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6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6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6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6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6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6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6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6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6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6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6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6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6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6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6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6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6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6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6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6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6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6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6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6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6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6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6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6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6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6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6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6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6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6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6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6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6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6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6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6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6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6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6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6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6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6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6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6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6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6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6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6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6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6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6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6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6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6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6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6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6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6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6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6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6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6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6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6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6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6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6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6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6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6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6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6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6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6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6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6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6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6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6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6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6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6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6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6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6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6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6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6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6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6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6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6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6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6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6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6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6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6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6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6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6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6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6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6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6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6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6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6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6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6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6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6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6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6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6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6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6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6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6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6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6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6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6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6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6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6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6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6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6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6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6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6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6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6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6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6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6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6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6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6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6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6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6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6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6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6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6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6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6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6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6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6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6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6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6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6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6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6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6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6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6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6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6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6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6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6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6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6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6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6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6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6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6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6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6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6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6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6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6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6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6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6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6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6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6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6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6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6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6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6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6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6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6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6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6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6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6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6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6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6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6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6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6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6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6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6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6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6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6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6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6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6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6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6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6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6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6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6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6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6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6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6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6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6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6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6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6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6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6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6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6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6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6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6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6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6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6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6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6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6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6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6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6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6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6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6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6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6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6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6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6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6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6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6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6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6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6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6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6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6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6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6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6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6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6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6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6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6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6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6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6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6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6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6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6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6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6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6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6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6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6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6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6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6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6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6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6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6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6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6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6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6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6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6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6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6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6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6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6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6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6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6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6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6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6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6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6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6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6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6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6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6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6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6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6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6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6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6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6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6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6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6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6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6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6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6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6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6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6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6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6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6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6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6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6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6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6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6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6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6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6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6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6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6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6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6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6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6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6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6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6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6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6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6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6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6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6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6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6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6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6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6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6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6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6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6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6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6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6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6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6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6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6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6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6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6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6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6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6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6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6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6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6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6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6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6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6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6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6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6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6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6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6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6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6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6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6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6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6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6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6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6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6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6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6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6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6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6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6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6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6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6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6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6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6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6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6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6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6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6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6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6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6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6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6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6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6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6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6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6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6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6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6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6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6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6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6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6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6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6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6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6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6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6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6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6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6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6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6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6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6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6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6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6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6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6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6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6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6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6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6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6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6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6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6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6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6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6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6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6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6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6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6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6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6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6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6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6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6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6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6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6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6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6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6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6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6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6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6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6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6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6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6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6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6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6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6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6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6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6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6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6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6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6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6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6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6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6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6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6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6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6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6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6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6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6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6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6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6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6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6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6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6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6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6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6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6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6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6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6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6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6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6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6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6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6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6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6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6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6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6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6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6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6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6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6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6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6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6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6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6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6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6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6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6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6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6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6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6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6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6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6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6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6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6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6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6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6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6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6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6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6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6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6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6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6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6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6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6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6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6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6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6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6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6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6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6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6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6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6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6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6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6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6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6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6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6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6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6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6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6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6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6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6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6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6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6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6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5</v>
      </c>
      <c r="B1" s="7" t="s">
        <v>10</v>
      </c>
      <c r="C1" s="7" t="s">
        <v>11</v>
      </c>
      <c r="D1" s="7" t="s">
        <v>12</v>
      </c>
      <c r="E1" s="7" t="s">
        <v>13</v>
      </c>
      <c r="F1" s="9" t="s">
        <v>14</v>
      </c>
      <c r="G1" s="9" t="s">
        <v>15</v>
      </c>
      <c r="H1" s="9" t="s">
        <v>16</v>
      </c>
      <c r="I1" s="7" t="s">
        <v>17</v>
      </c>
      <c r="K1" s="7" t="s">
        <v>18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9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33</v>
      </c>
      <c r="L8" s="12">
        <f>L4-L7
</f>
        <v>180</v>
      </c>
    </row>
    <row r="9">
      <c r="A9" s="7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35</v>
      </c>
      <c r="L9" s="12">
        <f>L6-L8
</f>
        <v>1020</v>
      </c>
    </row>
    <row r="10">
      <c r="A10" s="7">
        <v>9.0</v>
      </c>
      <c r="B10" s="11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37</v>
      </c>
      <c r="L10" s="12">
        <f>IF(L3&gt;1,L9/(L3-1),0)</f>
        <v>92.72727273</v>
      </c>
    </row>
    <row r="11">
      <c r="A11" s="7">
        <v>10.0</v>
      </c>
      <c r="B11" s="11" t="s">
        <v>38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39</v>
      </c>
      <c r="L11" s="18">
        <f>IF(L10&gt;0,L8/L10,1)</f>
        <v>1.941176471</v>
      </c>
    </row>
    <row r="12">
      <c r="A12" s="7">
        <v>11.0</v>
      </c>
      <c r="B12" s="11" t="s">
        <v>40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41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8">
        <f>IF(L13&gt;0,L6/L13,1)</f>
        <v>1</v>
      </c>
    </row>
    <row r="15">
      <c r="A15" s="7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48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49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50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51</v>
      </c>
      <c r="L18" s="20">
        <f>L5/L2</f>
        <v>0</v>
      </c>
    </row>
    <row r="19">
      <c r="A19" s="7">
        <v>18.0</v>
      </c>
      <c r="B19" s="11" t="s">
        <v>52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53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55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56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57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58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59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60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61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62</v>
      </c>
      <c r="L27" s="7">
        <v>0.8</v>
      </c>
    </row>
    <row r="28">
      <c r="A28" s="7">
        <v>27.0</v>
      </c>
      <c r="B28" s="11" t="s">
        <v>63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64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66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67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68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69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70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71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72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73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74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76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77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78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79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80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81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82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83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84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85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86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88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89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90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91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92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93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94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95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96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97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