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<sst xmlns="http://schemas.openxmlformats.org/spreadsheetml/2006/main" count="312" uniqueCount="178">
  <si>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</si>
  <si>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</si>
  <si>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</si>
  <si>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</si>
  <si>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</si>
  <si>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</si>
  <si>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</si>
  <si>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</si>
  <si>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</si>
  <si>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</si>
  <si>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</si>
  <si>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My Max Bid</t>
  </si>
  <si>
    <t>Floors</t>
  </si>
  <si>
    <t>EnforceUpTo</t>
  </si>
  <si>
    <t>Fractions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</si>
  <si>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</si>
  <si>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</si>
  <si>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</si>
  <si>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</si>
  <si>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</si>
  <si>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</si>
  <si>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</si>
  <si>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</si>
  <si>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</si>
  <si>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</si>
  <si>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</si>
  <si>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</si>
  <si>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</si>
  <si>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</si>
  <si>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</si>
  <si>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</si>
  <si>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</si>
  <si>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</si>
  <si>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</si>
  <si>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</si>
  <si>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</si>
  <si>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</si>
  <si>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</si>
  <si>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</si>
  <si>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</si>
  <si>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</si>
  <si>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</si>
  <si>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</si>
  <si>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</si>
  <si>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</si>
  <si>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</si>
  <si>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</si>
  <si>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</si>
  <si>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</si>
  <si>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</si>
  <si>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</si>
  <si>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</si>
  <si>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</si>
  <si>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</si>
  <si>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</si>
  <si>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</si>
  <si>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</si>
  <si>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</si>
  <si>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</si>
  <si>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</si>
  <si>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</si>
  <si>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</si>
  <si>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</si>
  <si>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</si>
  <si>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</si>
  <si>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</si>
  <si>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</si>
  <si>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</si>
  <si>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</si>
  <si>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</si>
  <si>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</si>
  <si>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</si>
  <si>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</si>
  <si>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</si>
  <si>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</si>
  <si>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</si>
  <si>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</si>
  <si>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</si>
  <si>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</si>
  <si>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</si>
  <si>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</si>
  <si>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</si>
  <si>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</si>
  <si>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</si>
  <si>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</si>
  <si>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</si>
  <si>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</si>
  <si>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</si>
  <si>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</si>
  <si>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</si>
  <si>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</si>
  <si>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</si>
  <si>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</si>
  <si>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</si>
  <si>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</si>
  <si>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</si>
  <si>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</si>
  <si>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</si>
  <si>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</si>
  <si>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</si>
  <si>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</si>
  <si>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</si>
  <si>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</si>
  <si>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</si>
  <si>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Eli Raridon</t>
  </si>
  <si>
    <t>DJ Rogers</t>
  </si>
  <si>
    <t>Ed</t>
  </si>
  <si>
    <t>Lake McRee</t>
  </si>
  <si>
    <t>Cade Klubnik</t>
  </si>
  <si>
    <t>Drew Allar</t>
  </si>
  <si>
    <t>Carson Beck</t>
  </si>
  <si>
    <t>Joe Royer</t>
  </si>
  <si>
    <t>Brent</t>
  </si>
  <si>
    <t>Sam Roush</t>
  </si>
  <si>
    <t>Tanner Koziol</t>
  </si>
  <si>
    <t>Joey</t>
  </si>
  <si>
    <t>Jack Endries</t>
  </si>
  <si>
    <t>Matthew Hibner</t>
  </si>
  <si>
    <t>MaKayla</t>
  </si>
  <si>
    <t>Tyren Montgomery</t>
  </si>
  <si>
    <t>Bryce Lance</t>
  </si>
  <si>
    <t>Ty</t>
  </si>
  <si>
    <t>Kevin Coleman</t>
  </si>
  <si>
    <t>Garrett Nussmeier</t>
  </si>
  <si>
    <t>Kich</t>
  </si>
  <si>
    <t>Nate Boerkircher</t>
  </si>
  <si>
    <t>Will Kacmarek</t>
  </si>
  <si>
    <t>Eric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</si>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</sst>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16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1"/>
      <c r="N2" s="11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1"/>
      <c r="N3" s="11"/>
      <c r="O3" s="8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1"/>
      <c r="N4" s="11"/>
      <c r="O4" s="8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1"/>
      <c r="N5" s="11"/>
      <c r="O5" s="8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1"/>
      <c r="N6" s="11"/>
      <c r="O6" s="8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1"/>
      <c r="N7" s="11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1"/>
      <c r="N29" s="11"/>
      <c r="O29" s="8" t="s">
        <v>95</v>
      </c>
      <c r="P29" s="8" t="s">
        <v>96</v>
      </c>
      <c r="Q29" s="11"/>
      <c r="R29" s="8" t="s">
        <v>97</v>
      </c>
      <c r="S29" s="8" t="s">
        <v>98</v>
      </c>
      <c r="T29" s="8" t="s">
        <v>99</v>
      </c>
      <c r="U29" s="11"/>
      <c r="V29" s="8" t="s">
        <v>100</v>
      </c>
      <c r="W29" s="8" t="s">
        <v>101</v>
      </c>
      <c r="X29" s="8" t="s">
        <v>102</v>
      </c>
      <c r="Y29" s="8" t="s">
        <v>103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1"/>
      <c r="N30" s="11"/>
      <c r="O30" s="5">
        <v>1.0</v>
      </c>
      <c r="P30" s="8" t="s">
        <v>106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1"/>
      <c r="N31" s="11"/>
      <c r="O31" s="5">
        <v>2.0</v>
      </c>
      <c r="P31" s="8" t="s">
        <v>112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1"/>
      <c r="N32" s="11"/>
      <c r="O32" s="5">
        <v>3.0</v>
      </c>
      <c r="P32" s="8" t="s">
        <v>115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1"/>
      <c r="N33" s="11"/>
      <c r="O33" s="5">
        <v>4.0</v>
      </c>
      <c r="P33" s="8" t="s">
        <v>118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1"/>
      <c r="N34" s="11"/>
      <c r="O34" s="5">
        <v>5.0</v>
      </c>
      <c r="P34" s="8" t="s">
        <v>121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1"/>
      <c r="N35" s="11"/>
      <c r="O35" s="5">
        <v>6.0</v>
      </c>
      <c r="P35" s="8" t="s">
        <v>124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1"/>
      <c r="N36" s="11"/>
      <c r="O36" s="5">
        <v>7.0</v>
      </c>
      <c r="P36" s="8" t="s">
        <v>127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1"/>
      <c r="N44" s="11"/>
      <c r="O44" s="8" t="s">
        <v>100</v>
      </c>
      <c r="P44" s="8" t="s">
        <v>20</v>
      </c>
      <c r="Q44" s="8" t="s">
        <v>134</v>
      </c>
      <c r="R44" s="8" t="s">
        <v>96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133</v>
      </c>
      <c r="U63" s="15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132</v>
      </c>
      <c r="U64" s="15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131</v>
      </c>
      <c r="U65" s="15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130</v>
      </c>
      <c r="U66" s="15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129</v>
      </c>
      <c r="U67" s="15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127</v>
      </c>
      <c r="U68" s="15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124</v>
      </c>
      <c r="U69" s="15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121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118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115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112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106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27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51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54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47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55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57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38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40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50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111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116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123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120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110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104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109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108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6</v>
      </c>
      <c r="D1" s="3" t="s">
        <v>8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15</v>
      </c>
      <c r="K1" s="3" t="s">
        <v>17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3" t="s">
        <v>28</v>
      </c>
      <c r="L5" s="18">
        <f>SUM($D$2:$D$500)
</f>
        <v>0</v>
      </c>
    </row>
    <row r="6">
      <c r="A6" s="3">
        <v>5.0</v>
      </c>
      <c r="B6" s="10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3" t="s">
        <v>30</v>
      </c>
      <c r="L6" s="18">
        <f>L2-L5
</f>
        <v>1200</v>
      </c>
    </row>
    <row r="7">
      <c r="A7" s="3">
        <v>6.0</v>
      </c>
      <c r="B7" s="10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3" t="s">
        <v>32</v>
      </c>
      <c r="L7" s="18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3" t="s">
        <v>37</v>
      </c>
      <c r="L9" s="12">
        <f>L6-L8
</f>
        <v>1020</v>
      </c>
    </row>
    <row r="10">
      <c r="A10" s="3">
        <v>9.0</v>
      </c>
      <c r="B10" s="10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3" t="s">
        <v>39</v>
      </c>
      <c r="L10" s="12">
        <f>IF(L3&gt;1,L9/(L3-1),0)</f>
        <v>92.72727273</v>
      </c>
    </row>
    <row r="11">
      <c r="A11" s="3">
        <v>10.0</v>
      </c>
      <c r="B11" s="10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3" t="s">
        <v>42</v>
      </c>
      <c r="L11" s="19">
        <f>IF(L10&gt;0,L8/L10,1)</f>
        <v>1.941176471</v>
      </c>
    </row>
    <row r="12">
      <c r="A12" s="3">
        <v>11.0</v>
      </c>
      <c r="B12" s="10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3">
        <v>12.0</v>
      </c>
      <c r="B13" s="10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3" t="s">
        <v>46</v>
      </c>
      <c r="L13" s="18">
        <f>SUMIF($D$2:$D$73,"",$C$2:$C$73)</f>
        <v>1200</v>
      </c>
    </row>
    <row r="14">
      <c r="A14" s="3">
        <v>13.0</v>
      </c>
      <c r="B14" s="10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3" t="s">
        <v>48</v>
      </c>
      <c r="L14" s="19">
        <f>IF(L13&gt;0,L6/L13,1)</f>
        <v>1</v>
      </c>
    </row>
    <row r="15">
      <c r="A15" s="3">
        <v>14.0</v>
      </c>
      <c r="B15" s="10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3">
        <v>15.0</v>
      </c>
      <c r="B16" s="10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3" t="s">
        <v>52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3">
        <v>17.0</v>
      </c>
      <c r="B18" s="10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3" t="s">
        <v>56</v>
      </c>
      <c r="L18" s="20">
        <f>L5/L2</f>
        <v>0</v>
      </c>
    </row>
    <row r="19">
      <c r="A19" s="3">
        <v>18.0</v>
      </c>
      <c r="B19" s="10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3">
        <v>19.0</v>
      </c>
      <c r="B20" s="10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3">
        <v>20.0</v>
      </c>
      <c r="B21" s="10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3">
        <v>21.0</v>
      </c>
      <c r="B22" s="10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3">
        <v>22.0</v>
      </c>
      <c r="B23" s="10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3">
        <v>23.0</v>
      </c>
      <c r="B24" s="10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3">
        <v>24.0</v>
      </c>
      <c r="B25" s="10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3">
        <v>25.0</v>
      </c>
      <c r="B26" s="10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3">
        <v>26.0</v>
      </c>
      <c r="B27" s="10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0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3">
        <v>28.0</v>
      </c>
      <c r="B29" s="10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3">
        <v>55.0</v>
      </c>
      <c r="B56" s="10" t="s">
        <v>104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3">
        <v>56.0</v>
      </c>
      <c r="B57" s="10" t="s">
        <v>105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3">
        <v>57.0</v>
      </c>
      <c r="B58" s="10" t="s">
        <v>107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3">
        <v>58.0</v>
      </c>
      <c r="B59" s="10" t="s">
        <v>108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3">
        <v>59.0</v>
      </c>
      <c r="B60" s="10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3">
        <v>60.0</v>
      </c>
      <c r="B61" s="10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3">
        <v>61.0</v>
      </c>
      <c r="B62" s="10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3">
        <v>62.0</v>
      </c>
      <c r="B63" s="10" t="s">
        <v>113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3">
        <v>63.0</v>
      </c>
      <c r="B64" s="10" t="s">
        <v>114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3">
        <v>64.0</v>
      </c>
      <c r="B65" s="10" t="s">
        <v>116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3">
        <v>65.0</v>
      </c>
      <c r="B66" s="10" t="s">
        <v>117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3">
        <v>66.0</v>
      </c>
      <c r="B67" s="10" t="s">
        <v>119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3">
        <v>67.0</v>
      </c>
      <c r="B68" s="10" t="s">
        <v>120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3">
        <v>68.0</v>
      </c>
      <c r="B69" s="10" t="s">
        <v>122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3">
        <v>69.0</v>
      </c>
      <c r="B70" s="10" t="s">
        <v>123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3">
        <v>70.0</v>
      </c>
      <c r="B71" s="10" t="s">
        <v>125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3">
        <v>71.0</v>
      </c>
      <c r="B72" s="10" t="s">
        <v>126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3">
        <v>72.0</v>
      </c>
      <c r="B73" s="3" t="s">
        <v>128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