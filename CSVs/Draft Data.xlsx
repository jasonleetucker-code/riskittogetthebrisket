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<sst xmlns="http://schemas.openxmlformats.org/spreadsheetml/2006/main" count="312" uniqueCount="178">
  <si>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</si>
  <si>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</si>
  <si>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</si>
  <si>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</si>
  <si>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</si>
  <si>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Decay</t>
  </si>
  <si>
    <t>Final Price</t>
  </si>
  <si>
    <t>Mine?</t>
  </si>
  <si>
    <t>Inflated Fair Price</t>
  </si>
  <si>
    <t>New Values</t>
  </si>
  <si>
    <t>Spine</t>
  </si>
  <si>
    <t>My Max Bid</t>
  </si>
  <si>
    <t>EnforceUpTo</t>
  </si>
  <si>
    <t>Value vs Fair</t>
  </si>
  <si>
    <t>Settings</t>
  </si>
  <si>
    <t>Floors</t>
  </si>
  <si>
    <t>Jeremiyah Love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</si>
  <si>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</si>
  <si>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</si>
  <si>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</si>
  <si>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</si>
  <si>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</si>
  <si>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</si>
  <si>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</si>
  <si>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</si>
  <si>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</si>
  <si>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</si>
  <si>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</si>
  <si>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</si>
  <si>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</si>
  <si>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</si>
  <si>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</si>
  <si>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</si>
  <si>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</si>
  <si>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Round 1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</si>
  <si>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</si>
  <si>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</si>
  <si>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</si>
  <si>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</si>
  <si>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</si>
  <si>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</si>
  <si>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</si>
  <si>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</si>
  <si>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</si>
  <si>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</si>
  <si>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</si>
  <si>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Round 2</t>
  </si>
  <si>
    <t>Ty Simpson</t>
  </si>
  <si>
    <t>Denzel Boston</t>
  </si>
  <si>
    <t>Aggression</t>
  </si>
  <si>
    <t>Round 3</t>
  </si>
  <si>
    <t>Caleb Downs</t>
  </si>
  <si>
    <t>David Bailey</t>
  </si>
  <si>
    <t>League Spent %</t>
  </si>
  <si>
    <t>Jacob Rodriguez</t>
  </si>
  <si>
    <t>Jonah Coleman</t>
  </si>
  <si>
    <t>Round 4</t>
  </si>
  <si>
    <t>Jake Golday</t>
  </si>
  <si>
    <t>Dillon Thieneman</t>
  </si>
  <si>
    <t>Rueben Bain</t>
  </si>
  <si>
    <t>Chris Bell</t>
  </si>
  <si>
    <t>Germie Bernard</t>
  </si>
  <si>
    <t>Round 5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</si>
  <si>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</si>
  <si>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</si>
  <si>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</si>
  <si>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</si>
  <si>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</si>
  <si>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</si>
  <si>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</si>
  <si>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Round 6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</si>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</sst>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5</v>
      </c>
      <c r="D1" s="4" t="s">
        <v>9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17</v>
      </c>
      <c r="K1" s="8" t="s">
        <v>18</v>
      </c>
      <c r="L1" s="11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34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46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56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62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70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113</v>
      </c>
      <c r="P29" s="8" t="s">
        <v>114</v>
      </c>
      <c r="Q29" s="12"/>
      <c r="R29" s="8" t="s">
        <v>115</v>
      </c>
      <c r="S29" s="8" t="s">
        <v>116</v>
      </c>
      <c r="T29" s="8" t="s">
        <v>117</v>
      </c>
      <c r="U29" s="12"/>
      <c r="V29" s="8" t="s">
        <v>118</v>
      </c>
      <c r="W29" s="8" t="s">
        <v>119</v>
      </c>
      <c r="X29" s="8" t="s">
        <v>120</v>
      </c>
      <c r="Y29" s="8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118</v>
      </c>
      <c r="P44" s="8" t="s">
        <v>20</v>
      </c>
      <c r="Q44" s="8" t="s">
        <v>134</v>
      </c>
      <c r="R44" s="8" t="s">
        <v>114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16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28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32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30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48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51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44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52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54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55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58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47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67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68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63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57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60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61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66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109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6</v>
      </c>
      <c r="E1" s="2" t="s">
        <v>7</v>
      </c>
      <c r="F1" s="5" t="s">
        <v>8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9" t="s">
        <v>16</v>
      </c>
      <c r="C2" s="10">
        <v>139.0</v>
      </c>
      <c r="D2" s="2"/>
      <c r="E2" s="2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0">
        <v>106.5</v>
      </c>
      <c r="D3" s="2"/>
      <c r="E3" s="2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9" t="s">
        <v>24</v>
      </c>
      <c r="C4" s="10">
        <v>93.0</v>
      </c>
      <c r="D4" s="2"/>
      <c r="E4" s="2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9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9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9" t="s">
        <v>30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31</v>
      </c>
      <c r="L7" s="17">
        <f>SUMIF($E$2:$E$500,TRUE,$D$2:$D$500)</f>
        <v>0</v>
      </c>
    </row>
    <row r="8">
      <c r="A8" s="2">
        <v>7.0</v>
      </c>
      <c r="B8" s="9" t="s">
        <v>32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33</v>
      </c>
      <c r="L8" s="10">
        <f>L4-L7
</f>
        <v>180</v>
      </c>
    </row>
    <row r="9">
      <c r="A9" s="2">
        <v>8.0</v>
      </c>
      <c r="B9" s="9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0">
        <f>L6-L8
</f>
        <v>1020</v>
      </c>
    </row>
    <row r="10">
      <c r="A10" s="2">
        <v>9.0</v>
      </c>
      <c r="B10" s="9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0">
        <f>IF(L3&gt;1,L9/(L3-1),0)</f>
        <v>92.72727273</v>
      </c>
    </row>
    <row r="11">
      <c r="A11" s="2">
        <v>10.0</v>
      </c>
      <c r="B11" s="9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9" t="s">
        <v>41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9" t="s">
        <v>42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43</v>
      </c>
      <c r="L13" s="17">
        <f>SUMIF($D$2:$D$73,"",$C$2:$C$73)</f>
        <v>1200</v>
      </c>
    </row>
    <row r="14">
      <c r="A14" s="2">
        <v>13.0</v>
      </c>
      <c r="B14" s="9" t="s">
        <v>44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45</v>
      </c>
      <c r="L14" s="19">
        <f>IF(L13&gt;0,L6/L13,1)</f>
        <v>1</v>
      </c>
    </row>
    <row r="15">
      <c r="A15" s="2">
        <v>14.0</v>
      </c>
      <c r="B15" s="9" t="s">
        <v>47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9" t="s">
        <v>48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49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51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9" t="s">
        <v>52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53</v>
      </c>
      <c r="L18" s="20">
        <f>L5/L2</f>
        <v>0</v>
      </c>
    </row>
    <row r="19">
      <c r="A19" s="2">
        <v>18.0</v>
      </c>
      <c r="B19" s="9" t="s">
        <v>54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9" t="s">
        <v>55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9" t="s">
        <v>57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9" t="s">
        <v>58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9" t="s">
        <v>59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9" t="s">
        <v>60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9" t="s">
        <v>61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9" t="s">
        <v>63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9" t="s">
        <v>64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65</v>
      </c>
      <c r="L27" s="2">
        <v>0.8</v>
      </c>
    </row>
    <row r="28">
      <c r="A28" s="2">
        <v>27.0</v>
      </c>
      <c r="B28" s="9" t="s">
        <v>66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9" t="s">
        <v>67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9" t="s">
        <v>68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9" t="s">
        <v>69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9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9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9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9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9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9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9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9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9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9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9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9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9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9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9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9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9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9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9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9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9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9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9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9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9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9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9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9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9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9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9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9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9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9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9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9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9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9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9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9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9" t="s">
        <v>111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