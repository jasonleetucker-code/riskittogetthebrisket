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<sst xmlns="http://schemas.openxmlformats.org/spreadsheetml/2006/main" count="312" uniqueCount="178">
  <si>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</si>
  <si>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</si>
  <si>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</si>
  <si>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</si>
  <si>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PLAYER NAME</t>
  </si>
  <si>
    <t>PreDraft$</t>
  </si>
  <si>
    <t>New Values</t>
  </si>
  <si>
    <t>Final Price</t>
  </si>
  <si>
    <t>Spine</t>
  </si>
  <si>
    <t>Mine?</t>
  </si>
  <si>
    <t>Inflated Fair Price</t>
  </si>
  <si>
    <t>My Max Bid</t>
  </si>
  <si>
    <t>Floors</t>
  </si>
  <si>
    <t>EnforceUpTo</t>
  </si>
  <si>
    <t>Value vs Fair</t>
  </si>
  <si>
    <t>Fractions</t>
  </si>
  <si>
    <t>Settings</t>
  </si>
  <si>
    <t>Monotone Rounded</t>
  </si>
  <si>
    <t>Jeremiyah Love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</si>
  <si>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</si>
  <si>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</si>
  <si>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</si>
  <si>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</si>
  <si>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</si>
  <si>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</si>
  <si>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</si>
  <si>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</si>
  <si>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</si>
  <si>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</si>
  <si>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</si>
  <si>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</si>
  <si>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</si>
  <si>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</si>
  <si>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</si>
  <si>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</si>
  <si>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</si>
  <si>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</si>
  <si>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</si>
  <si>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</si>
  <si>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</si>
  <si>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</si>
  <si>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</si>
  <si>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</si>
  <si>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</si>
  <si>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</si>
  <si>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</si>
  <si>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</si>
  <si>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</si>
  <si>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</si>
  <si>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</si>
  <si>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</si>
  <si>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</si>
  <si>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</si>
  <si>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</si>
  <si>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</si>
  <si>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</si>
  <si>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Jake Golday</t>
  </si>
  <si>
    <t>Round 4</t>
  </si>
  <si>
    <t>Dillon Thieneman</t>
  </si>
  <si>
    <t>Rueben Bain</t>
  </si>
  <si>
    <t>Chris Bell</t>
  </si>
  <si>
    <t>Germie Bernard</t>
  </si>
  <si>
    <t>Nicholas Singleton</t>
  </si>
  <si>
    <t>Round 5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</si>
  <si>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</si>
  <si>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</si>
  <si>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</si>
  <si>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</si>
  <si>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</si>
  <si>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</si>
  <si>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</si>
  <si>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Round 6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</si>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</sst>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4" t="s">
        <v>3</v>
      </c>
      <c r="D1" s="4" t="s">
        <v>6</v>
      </c>
      <c r="E1" s="4" t="s">
        <v>8</v>
      </c>
      <c r="F1" s="5">
        <v>2025.0</v>
      </c>
      <c r="G1" s="5">
        <v>2024.0</v>
      </c>
      <c r="H1" s="7">
        <v>2026.0</v>
      </c>
      <c r="I1" s="8" t="s">
        <v>12</v>
      </c>
      <c r="J1" s="8" t="s">
        <v>15</v>
      </c>
      <c r="K1" s="8" t="s">
        <v>17</v>
      </c>
      <c r="L1" s="11" t="s">
        <v>19</v>
      </c>
      <c r="M1" s="5">
        <v>12.0</v>
      </c>
      <c r="N1" s="12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71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5">
        <v>1.0</v>
      </c>
      <c r="P30" s="8" t="s">
        <v>122</v>
      </c>
      <c r="Q30" s="12"/>
      <c r="R30" s="5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5">
        <v>2.0</v>
      </c>
      <c r="P31" s="8" t="s">
        <v>123</v>
      </c>
      <c r="Q31" s="12"/>
      <c r="R31" s="5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5">
        <v>3.0</v>
      </c>
      <c r="P32" s="8" t="s">
        <v>124</v>
      </c>
      <c r="Q32" s="12"/>
      <c r="R32" s="5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5">
        <v>4.0</v>
      </c>
      <c r="P33" s="8" t="s">
        <v>125</v>
      </c>
      <c r="Q33" s="12"/>
      <c r="R33" s="5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5">
        <v>5.0</v>
      </c>
      <c r="P34" s="8" t="s">
        <v>126</v>
      </c>
      <c r="Q34" s="12"/>
      <c r="R34" s="5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5">
        <v>6.0</v>
      </c>
      <c r="P35" s="8" t="s">
        <v>127</v>
      </c>
      <c r="Q35" s="12"/>
      <c r="R35" s="5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5">
        <v>7.0</v>
      </c>
      <c r="P36" s="8" t="s">
        <v>128</v>
      </c>
      <c r="Q36" s="12"/>
      <c r="R36" s="5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5">
        <v>8.0</v>
      </c>
      <c r="P37" s="8" t="s">
        <v>129</v>
      </c>
      <c r="Q37" s="12"/>
      <c r="R37" s="5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5">
        <v>9.0</v>
      </c>
      <c r="P38" s="8" t="s">
        <v>130</v>
      </c>
      <c r="Q38" s="12"/>
      <c r="R38" s="5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5">
        <v>10.0</v>
      </c>
      <c r="P39" s="8" t="s">
        <v>131</v>
      </c>
      <c r="Q39" s="12"/>
      <c r="R39" s="5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5">
        <v>11.0</v>
      </c>
      <c r="P40" s="8" t="s">
        <v>132</v>
      </c>
      <c r="Q40" s="12"/>
      <c r="R40" s="5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5">
        <v>12.0</v>
      </c>
      <c r="P41" s="8" t="s">
        <v>133</v>
      </c>
      <c r="Q41" s="12"/>
      <c r="R41" s="5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2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18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54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55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67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68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62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56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60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61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70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66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2</v>
      </c>
      <c r="B1" s="3" t="s">
        <v>4</v>
      </c>
      <c r="C1" s="3" t="s">
        <v>5</v>
      </c>
      <c r="D1" s="3" t="s">
        <v>7</v>
      </c>
      <c r="E1" s="3" t="s">
        <v>9</v>
      </c>
      <c r="F1" s="6" t="s">
        <v>10</v>
      </c>
      <c r="G1" s="6" t="s">
        <v>11</v>
      </c>
      <c r="H1" s="6" t="s">
        <v>13</v>
      </c>
      <c r="I1" s="3" t="s">
        <v>14</v>
      </c>
      <c r="K1" s="3" t="s">
        <v>16</v>
      </c>
    </row>
    <row r="2">
      <c r="A2" s="3">
        <v>1.0</v>
      </c>
      <c r="B2" s="9" t="s">
        <v>18</v>
      </c>
      <c r="C2" s="10">
        <v>139.0</v>
      </c>
      <c r="D2" s="3"/>
      <c r="E2" s="3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9" t="s">
        <v>22</v>
      </c>
      <c r="C3" s="10">
        <v>106.5</v>
      </c>
      <c r="D3" s="3"/>
      <c r="E3" s="3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9" t="s">
        <v>24</v>
      </c>
      <c r="C4" s="10">
        <v>93.0</v>
      </c>
      <c r="D4" s="3"/>
      <c r="E4" s="3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6">
        <f>'Draft Data'!U63</f>
        <v>180</v>
      </c>
    </row>
    <row r="5">
      <c r="A5" s="3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29</v>
      </c>
      <c r="L6" s="17">
        <f>L2-L5
</f>
        <v>1200</v>
      </c>
    </row>
    <row r="7">
      <c r="A7" s="3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31</v>
      </c>
      <c r="L7" s="17">
        <f>SUMIF($E$2:$E$500,TRUE,$D$2:$D$500)</f>
        <v>0</v>
      </c>
    </row>
    <row r="8">
      <c r="A8" s="3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34</v>
      </c>
      <c r="L8" s="10">
        <f>L4-L7
</f>
        <v>180</v>
      </c>
    </row>
    <row r="9">
      <c r="A9" s="3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36</v>
      </c>
      <c r="L9" s="10">
        <f>L6-L8
</f>
        <v>1020</v>
      </c>
    </row>
    <row r="10">
      <c r="A10" s="3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38</v>
      </c>
      <c r="L10" s="10">
        <f>IF(L3&gt;1,L9/(L3-1),0)</f>
        <v>92.72727273</v>
      </c>
    </row>
    <row r="11">
      <c r="A11" s="3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40</v>
      </c>
      <c r="L11" s="19">
        <f>IF(L10&gt;0,L8/L10,1)</f>
        <v>1.941176471</v>
      </c>
    </row>
    <row r="12">
      <c r="A12" s="3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43</v>
      </c>
      <c r="L13" s="17">
        <f>SUMIF($D$2:$D$73,"",$C$2:$C$73)</f>
        <v>1200</v>
      </c>
    </row>
    <row r="14">
      <c r="A14" s="3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46</v>
      </c>
      <c r="L14" s="19">
        <f>IF(L13&gt;0,L6/L13,1)</f>
        <v>1</v>
      </c>
    </row>
    <row r="15">
      <c r="A15" s="3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49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9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53</v>
      </c>
      <c r="L18" s="20">
        <f>L5/L2</f>
        <v>0</v>
      </c>
    </row>
    <row r="19">
      <c r="A19" s="3">
        <v>18.0</v>
      </c>
      <c r="B19" s="9" t="s">
        <v>54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9" t="s">
        <v>55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9" t="s">
        <v>56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9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9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9" t="s">
        <v>60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9" t="s">
        <v>61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9" t="s">
        <v>62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9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65</v>
      </c>
      <c r="L27" s="3">
        <v>0.8</v>
      </c>
    </row>
    <row r="28">
      <c r="A28" s="3">
        <v>27.0</v>
      </c>
      <c r="B28" s="9" t="s">
        <v>66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9" t="s">
        <v>67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9" t="s">
        <v>68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9" t="s">
        <v>69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9" t="s">
        <v>70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