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<sst xmlns="http://schemas.openxmlformats.org/spreadsheetml/2006/main" count="312" uniqueCount="178">
  <si>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</si>
  <si>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</si>
  <si>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</si>
  <si>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</si>
  <si>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</si>
  <si>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PLAYER NAME</t>
  </si>
  <si>
    <t>Spine</t>
  </si>
  <si>
    <t>PreDraft$</t>
  </si>
  <si>
    <t>Final Price</t>
  </si>
  <si>
    <t>Mine?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</si>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</sst>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6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9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9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9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9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9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9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9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9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9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9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9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9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9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5</v>
      </c>
      <c r="C1" s="4" t="s">
        <v>7</v>
      </c>
      <c r="D1" s="4" t="s">
        <v>8</v>
      </c>
      <c r="E1" s="4" t="s">
        <v>9</v>
      </c>
      <c r="F1" s="6" t="s">
        <v>10</v>
      </c>
      <c r="G1" s="6" t="s">
        <v>11</v>
      </c>
      <c r="H1" s="6" t="s">
        <v>12</v>
      </c>
      <c r="I1" s="4" t="s">
        <v>14</v>
      </c>
      <c r="K1" s="4" t="s">
        <v>15</v>
      </c>
    </row>
    <row r="2">
      <c r="A2" s="4">
        <v>1.0</v>
      </c>
      <c r="B2" s="9" t="s">
        <v>18</v>
      </c>
      <c r="C2" s="11">
        <v>139.0</v>
      </c>
      <c r="D2" s="4"/>
      <c r="E2" s="4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1">
        <v>106.5</v>
      </c>
      <c r="D3" s="4"/>
      <c r="E3" s="4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1">
        <v>93.0</v>
      </c>
      <c r="D4" s="4"/>
      <c r="E4" s="4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6">
        <f>'Draft Data'!U63</f>
        <v>180</v>
      </c>
    </row>
    <row r="5">
      <c r="A5" s="4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1">
        <f>L4-L7
</f>
        <v>180</v>
      </c>
    </row>
    <row r="9">
      <c r="A9" s="4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1">
        <f>L6-L8
</f>
        <v>1020</v>
      </c>
    </row>
    <row r="10">
      <c r="A10" s="4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1">
        <f>IF(L3&gt;1,L9/(L3-1),0)</f>
        <v>92.72727273</v>
      </c>
    </row>
    <row r="11">
      <c r="A11" s="4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