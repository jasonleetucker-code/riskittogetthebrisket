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<sst xmlns="http://schemas.openxmlformats.org/spreadsheetml/2006/main" count="312" uniqueCount="178">
  <si>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</si>
  <si>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</si>
  <si>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</si>
  <si>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</si>
  <si>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</si>
  <si>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New Values</t>
  </si>
  <si>
    <t>Spine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</si>
  <si>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</si>
  <si>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</si>
  <si>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</si>
  <si>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</si>
  <si>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</si>
  <si>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</si>
  <si>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</si>
  <si>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Final Dollar Per Pick</t>
  </si>
  <si>
    <t>My Max Bid</t>
  </si>
  <si>
    <t>EnforceUpTo</t>
  </si>
  <si>
    <t>Value vs Fair</t>
  </si>
  <si>
    <t>Pick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</si>
  <si>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</si>
  <si>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</si>
  <si>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</si>
  <si>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</si>
  <si>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</si>
  <si>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</si>
  <si>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</si>
  <si>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</si>
  <si>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</si>
  <si>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</si>
  <si>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</si>
  <si>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</si>
  <si>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</si>
  <si>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</si>
  <si>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</si>
  <si>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</si>
  <si>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</si>
  <si>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</si>
  <si>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</si>
  <si>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</si>
  <si>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</si>
  <si>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</si>
  <si>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</si>
  <si>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</si>
  <si>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</si>
  <si>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</si>
  <si>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</si>
  <si>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</si>
  <si>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</si>
  <si>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</si>
  <si>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</si>
  <si>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</si>
  <si>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</si>
  <si>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</si>
  <si>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</si>
  <si>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</si>
  <si>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</si>
  <si>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</si>
  <si>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</si>
  <si>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</si>
  <si>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</si>
  <si>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</si>
  <si>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</si>
  <si>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</si>
  <si>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</si>
  <si>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</si>
  <si>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</si>
  <si>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</si>
  <si>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</si>
  <si>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</si>
  <si>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</si>
  <si>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</si>
  <si>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</si>
  <si>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</si>
  <si>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</si>
  <si>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</si>
  <si>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</si>
  <si>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</si>
  <si>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</si>
  <si>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</si>
  <si>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</si>
  <si>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</si>
  <si>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</si>
  <si>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</si>
  <si>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</si>
  <si>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</si>
  <si>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</si>
  <si>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</si>
  <si>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</si>
  <si>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</si>
  <si>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</si>
  <si>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</si>
  <si>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</si>
  <si>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</si>
  <si>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</si>
  <si>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</si>
  <si>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</si>
  <si>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</si>
  <si>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</si>
  <si>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</si>
  <si>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</si>
  <si>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</si>
  <si>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</si>
  <si>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</si>
  <si>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</si>
  <si>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</si>
  <si>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</si>
  <si>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</si>
  <si>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Standings</t>
  </si>
  <si>
    <t>Owner</t>
  </si>
  <si>
    <t>Bryce Lance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</si>
  <si>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</si>
  <si>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</si>
  <si>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</si>
  <si>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</si>
  <si>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</si>
  <si>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</si>
  <si>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</si>
  <si>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Kevin Coleman</t>
  </si>
  <si>
    <t>Ed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</si>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</sst>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2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3</v>
      </c>
      <c r="D1" s="4" t="s">
        <v>5</v>
      </c>
      <c r="E1" s="4" t="s">
        <v>6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14</v>
      </c>
      <c r="M1" s="5">
        <v>12.0</v>
      </c>
      <c r="N1" s="10"/>
      <c r="O1" s="7" t="s">
        <v>18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7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7" t="s">
        <v>34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8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7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8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7" t="s">
        <v>47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8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7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8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7" t="s">
        <v>54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8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8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7" t="s">
        <v>107</v>
      </c>
      <c r="P29" s="7" t="s">
        <v>108</v>
      </c>
      <c r="Q29" s="10"/>
      <c r="R29" s="7" t="s">
        <v>110</v>
      </c>
      <c r="S29" s="7" t="s">
        <v>111</v>
      </c>
      <c r="T29" s="7" t="s">
        <v>112</v>
      </c>
      <c r="U29" s="10"/>
      <c r="V29" s="7" t="s">
        <v>113</v>
      </c>
      <c r="W29" s="7" t="s">
        <v>114</v>
      </c>
      <c r="X29" s="7" t="s">
        <v>115</v>
      </c>
      <c r="Y29" s="7" t="s">
        <v>116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7" t="s">
        <v>118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7" t="s">
        <v>113</v>
      </c>
      <c r="P44" s="7" t="s">
        <v>18</v>
      </c>
      <c r="Q44" s="7" t="s">
        <v>134</v>
      </c>
      <c r="R44" s="7" t="s">
        <v>108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7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118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7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7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7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7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7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7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7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7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7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7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7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7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7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7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7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7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7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7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7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7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7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7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7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7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7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50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53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36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49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119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109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4</v>
      </c>
      <c r="C1" s="2" t="s">
        <v>7</v>
      </c>
      <c r="D1" s="2" t="s">
        <v>8</v>
      </c>
      <c r="E1" s="2" t="s">
        <v>9</v>
      </c>
      <c r="F1" s="8" t="s">
        <v>11</v>
      </c>
      <c r="G1" s="8" t="s">
        <v>15</v>
      </c>
      <c r="H1" s="8" t="s">
        <v>16</v>
      </c>
      <c r="I1" s="2" t="s">
        <v>17</v>
      </c>
      <c r="K1" s="2" t="s">
        <v>19</v>
      </c>
    </row>
    <row r="2">
      <c r="A2" s="2">
        <v>1.0</v>
      </c>
      <c r="B2" s="11" t="s">
        <v>20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24</v>
      </c>
      <c r="L3" s="2">
        <v>12.0</v>
      </c>
    </row>
    <row r="4">
      <c r="A4" s="2">
        <v>3.0</v>
      </c>
      <c r="B4" s="11" t="s">
        <v>25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8">
        <f>'Draft Data'!U63</f>
        <v>180</v>
      </c>
    </row>
    <row r="5">
      <c r="A5" s="2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35</v>
      </c>
      <c r="L8" s="12">
        <f>L4-L7
</f>
        <v>180</v>
      </c>
    </row>
    <row r="9">
      <c r="A9" s="2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2">
        <f>L6-L8
</f>
        <v>1020</v>
      </c>
    </row>
    <row r="10">
      <c r="A10" s="2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2">
        <f>IF(L3&gt;1,L9/(L3-1),0)</f>
        <v>92.72727273</v>
      </c>
    </row>
    <row r="11">
      <c r="A11" s="2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1" t="s">
        <v>109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1" t="s">
        <v>117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1" t="s">
        <v>119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1" t="s">
        <v>120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1" t="s">
        <v>121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