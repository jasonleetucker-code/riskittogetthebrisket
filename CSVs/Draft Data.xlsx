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<sst xmlns="http://schemas.openxmlformats.org/spreadsheetml/2006/main" count="312" uniqueCount="178">
  <si>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</si>
  <si>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</si>
  <si>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</si>
  <si>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</si>
  <si>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</si>
  <si>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</si>
  <si>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</si>
  <si>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</si>
  <si>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</si>
  <si>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</si>
  <si>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PLAYER NAME</t>
  </si>
  <si>
    <t>Pick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</si>
  <si>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</si>
  <si>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</si>
  <si>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</si>
  <si>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</si>
  <si>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</si>
  <si>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</si>
  <si>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</si>
  <si>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</si>
  <si>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</si>
  <si>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</si>
  <si>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</si>
  <si>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</si>
  <si>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</si>
  <si>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</si>
  <si>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</si>
  <si>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</si>
  <si>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</si>
  <si>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</si>
  <si>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</si>
  <si>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</si>
  <si>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</si>
  <si>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My Spent</t>
  </si>
  <si>
    <t>Round 3</t>
  </si>
  <si>
    <t>Sonny Styles</t>
  </si>
  <si>
    <t>My Remaining</t>
  </si>
  <si>
    <t>KC Concepcion</t>
  </si>
  <si>
    <t>Other Teams Remaining</t>
  </si>
  <si>
    <t>Jadarian Price</t>
  </si>
  <si>
    <t>Round 4</t>
  </si>
  <si>
    <t>Avg $ per Other Team</t>
  </si>
  <si>
    <t>Eli Stowers</t>
  </si>
  <si>
    <t>Budget Advantage Factor</t>
  </si>
  <si>
    <t>Round 5</t>
  </si>
  <si>
    <t>Omar Cooper</t>
  </si>
  <si>
    <t>CJ Allen</t>
  </si>
  <si>
    <t>Round 6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</si>
  <si>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</si>
  <si>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</si>
  <si>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</si>
  <si>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</si>
  <si>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</si>
  <si>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</si>
  <si>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</si>
  <si>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</si>
  <si>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</si>
  <si>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</si>
  <si>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</si>
  <si>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</si>
  <si>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</si>
  <si>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</si>
  <si>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</si>
  <si>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</si>
  <si>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</si>
  <si>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</si>
  <si>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</si>
  <si>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</si>
  <si>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</si>
  <si>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</si>
  <si>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</si>
  <si>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</si>
  <si>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</si>
  <si>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</si>
  <si>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</si>
  <si>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</si>
  <si>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</si>
  <si>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</si>
  <si>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</si>
  <si>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</si>
  <si>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</si>
  <si>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</si>
  <si>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</si>
  <si>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</si>
  <si>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</si>
  <si>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</si>
  <si>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</si>
  <si>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</si>
  <si>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</si>
  <si>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Standings</t>
  </si>
  <si>
    <t>CJ Donaldson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</si>
  <si>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</si>
  <si>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</si>
  <si>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</si>
  <si>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</si>
  <si>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</si>
  <si>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</si>
  <si>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</si>
  <si>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</si>
  <si>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T.J. Parker</t>
  </si>
  <si>
    <t>Ed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</si>
  <si>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</si>
  <si>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</si>
  <si>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</si>
  <si>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</si>
  <si>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</si>
  <si>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</si>
  <si>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</si>
  <si>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Brent</t>
  </si>
  <si>
    <t>Cade Klubnik</t>
  </si>
  <si>
    <t>Drew Allar</t>
  </si>
  <si>
    <t>Joey</t>
  </si>
  <si>
    <t>Carson Beck</t>
  </si>
  <si>
    <t>Joe Royer</t>
  </si>
  <si>
    <t>MaKayla</t>
  </si>
  <si>
    <t>Sam Roush</t>
  </si>
  <si>
    <t>Tanner Koziol</t>
  </si>
  <si>
    <t>Ty</t>
  </si>
  <si>
    <t>Jack Endries</t>
  </si>
  <si>
    <t>Kich</t>
  </si>
  <si>
    <t>Matthew Hibner</t>
  </si>
  <si>
    <t>Eric</t>
  </si>
  <si>
    <t>Collin</t>
  </si>
  <si>
    <t>Tyren Montgomery</t>
  </si>
  <si>
    <t>Roy</t>
  </si>
  <si>
    <t>Bryce Lance</t>
  </si>
  <si>
    <t>Jason</t>
  </si>
  <si>
    <t>Kevin Coleman</t>
  </si>
  <si>
    <t>Garrett Nussmeier</t>
  </si>
  <si>
    <t>Blaine</t>
  </si>
  <si>
    <t>Nate Boerkircher</t>
  </si>
  <si>
    <t>Will Kacmarek</t>
  </si>
  <si>
    <t>Joel</t>
  </si>
  <si>
    <t>Noah Whittington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</si>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</sst>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0" xfId="0" applyAlignment="1" applyFont="1">
      <alignment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9"/>
      <c r="O1" s="6" t="s">
        <v>11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30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6" t="s">
        <v>34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6" t="s">
        <v>40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6" t="s">
        <v>44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6" t="s">
        <v>47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6" t="s">
        <v>89</v>
      </c>
      <c r="P29" s="6" t="s">
        <v>91</v>
      </c>
      <c r="Q29" s="9"/>
      <c r="R29" s="6" t="s">
        <v>92</v>
      </c>
      <c r="S29" s="6" t="s">
        <v>93</v>
      </c>
      <c r="T29" s="6" t="s">
        <v>94</v>
      </c>
      <c r="U29" s="9"/>
      <c r="V29" s="6" t="s">
        <v>95</v>
      </c>
      <c r="W29" s="6" t="s">
        <v>96</v>
      </c>
      <c r="X29" s="6" t="s">
        <v>97</v>
      </c>
      <c r="Y29" s="6" t="s">
        <v>98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100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108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111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114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117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119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121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122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124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126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129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132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6" t="s">
        <v>95</v>
      </c>
      <c r="P44" s="6" t="s">
        <v>11</v>
      </c>
      <c r="Q44" s="6" t="s">
        <v>134</v>
      </c>
      <c r="R44" s="6" t="s">
        <v>91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132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129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6" t="s">
        <v>126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124</v>
      </c>
      <c r="U66" s="15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122</v>
      </c>
      <c r="U67" s="15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121</v>
      </c>
      <c r="U68" s="15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119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117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114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111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108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100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9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25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35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32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52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49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37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39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42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51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99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113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118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128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125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112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105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104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110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109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8" t="s">
        <v>9</v>
      </c>
      <c r="B1" s="8" t="s">
        <v>10</v>
      </c>
      <c r="C1" s="8" t="s">
        <v>12</v>
      </c>
      <c r="D1" s="8" t="s">
        <v>13</v>
      </c>
      <c r="E1" s="8" t="s">
        <v>14</v>
      </c>
      <c r="F1" s="10" t="s">
        <v>15</v>
      </c>
      <c r="G1" s="10" t="s">
        <v>16</v>
      </c>
      <c r="H1" s="10" t="s">
        <v>17</v>
      </c>
      <c r="I1" s="8" t="s">
        <v>18</v>
      </c>
      <c r="K1" s="8" t="s">
        <v>19</v>
      </c>
    </row>
    <row r="2">
      <c r="A2" s="8">
        <v>1.0</v>
      </c>
      <c r="B2" s="11" t="s">
        <v>20</v>
      </c>
      <c r="C2" s="12">
        <v>139.0</v>
      </c>
      <c r="D2" s="8"/>
      <c r="E2" s="8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8" t="s">
        <v>21</v>
      </c>
      <c r="L2" s="8">
        <v>1200.0</v>
      </c>
    </row>
    <row r="3">
      <c r="A3" s="8">
        <v>2.0</v>
      </c>
      <c r="B3" s="11" t="s">
        <v>22</v>
      </c>
      <c r="C3" s="12">
        <v>106.5</v>
      </c>
      <c r="D3" s="8"/>
      <c r="E3" s="8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8" t="s">
        <v>24</v>
      </c>
      <c r="L3" s="8">
        <v>12.0</v>
      </c>
    </row>
    <row r="4">
      <c r="A4" s="8">
        <v>3.0</v>
      </c>
      <c r="B4" s="11" t="s">
        <v>25</v>
      </c>
      <c r="C4" s="12">
        <v>93.0</v>
      </c>
      <c r="D4" s="8"/>
      <c r="E4" s="8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8" t="s">
        <v>26</v>
      </c>
      <c r="L4" s="10">
        <f>'Draft Data'!U63</f>
        <v>180</v>
      </c>
    </row>
    <row r="5">
      <c r="A5" s="8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8" t="s">
        <v>28</v>
      </c>
      <c r="L5" s="18">
        <f>SUM($D$2:$D$500)
</f>
        <v>0</v>
      </c>
    </row>
    <row r="6">
      <c r="A6" s="8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8" t="s">
        <v>31</v>
      </c>
      <c r="L6" s="18">
        <f>L2-L5
</f>
        <v>1200</v>
      </c>
    </row>
    <row r="7">
      <c r="A7" s="8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8" t="s">
        <v>33</v>
      </c>
      <c r="L7" s="18">
        <f>SUMIF($E$2:$E$500,TRUE,$D$2:$D$500)</f>
        <v>0</v>
      </c>
    </row>
    <row r="8">
      <c r="A8" s="8">
        <v>7.0</v>
      </c>
      <c r="B8" s="11" t="s">
        <v>35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8" t="s">
        <v>36</v>
      </c>
      <c r="L8" s="12">
        <f>L4-L7
</f>
        <v>180</v>
      </c>
    </row>
    <row r="9">
      <c r="A9" s="8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8" t="s">
        <v>38</v>
      </c>
      <c r="L9" s="12">
        <f>L6-L8
</f>
        <v>1020</v>
      </c>
    </row>
    <row r="10">
      <c r="A10" s="8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8" t="s">
        <v>41</v>
      </c>
      <c r="L10" s="12">
        <f>IF(L3&gt;1,L9/(L3-1),0)</f>
        <v>92.72727273</v>
      </c>
    </row>
    <row r="11">
      <c r="A11" s="8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8" t="s">
        <v>43</v>
      </c>
      <c r="L11" s="19">
        <f>IF(L10&gt;0,L8/L10,1)</f>
        <v>1.941176471</v>
      </c>
    </row>
    <row r="12">
      <c r="A12" s="8">
        <v>11.0</v>
      </c>
      <c r="B12" s="11" t="s">
        <v>45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8">
        <v>12.0</v>
      </c>
      <c r="B13" s="11" t="s">
        <v>46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8" t="s">
        <v>48</v>
      </c>
      <c r="L13" s="18">
        <f>SUMIF($D$2:$D$73,"",$C$2:$C$73)</f>
        <v>1200</v>
      </c>
    </row>
    <row r="14">
      <c r="A14" s="8">
        <v>13.0</v>
      </c>
      <c r="B14" s="11" t="s">
        <v>49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8" t="s">
        <v>50</v>
      </c>
      <c r="L14" s="19">
        <f>IF(L13&gt;0,L6/L13,1)</f>
        <v>1</v>
      </c>
    </row>
    <row r="15">
      <c r="A15" s="8">
        <v>14.0</v>
      </c>
      <c r="B15" s="11" t="s">
        <v>51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8">
        <v>15.0</v>
      </c>
      <c r="B16" s="11" t="s">
        <v>52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8" t="s">
        <v>53</v>
      </c>
      <c r="L16" s="8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8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8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8" t="s">
        <v>56</v>
      </c>
      <c r="L18" s="20">
        <f>L5/L2</f>
        <v>0</v>
      </c>
    </row>
    <row r="19">
      <c r="A19" s="8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8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8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8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8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8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8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8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8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8" t="s">
        <v>66</v>
      </c>
      <c r="L27" s="8">
        <v>0.8</v>
      </c>
    </row>
    <row r="28">
      <c r="A28" s="8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8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8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8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8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8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8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8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8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8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8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8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8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8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8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8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8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8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8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8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8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8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8">
        <v>49.0</v>
      </c>
      <c r="B50" s="11" t="s">
        <v>90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8">
        <v>50.0</v>
      </c>
      <c r="B51" s="11" t="s">
        <v>99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8">
        <v>51.0</v>
      </c>
      <c r="B52" s="11" t="s">
        <v>101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8">
        <v>52.0</v>
      </c>
      <c r="B53" s="11" t="s">
        <v>102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8">
        <v>53.0</v>
      </c>
      <c r="B54" s="11" t="s">
        <v>103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8">
        <v>54.0</v>
      </c>
      <c r="B55" s="11" t="s">
        <v>104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8">
        <v>55.0</v>
      </c>
      <c r="B56" s="11" t="s">
        <v>105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8">
        <v>56.0</v>
      </c>
      <c r="B57" s="11" t="s">
        <v>106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8">
        <v>57.0</v>
      </c>
      <c r="B58" s="11" t="s">
        <v>107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8">
        <v>58.0</v>
      </c>
      <c r="B59" s="11" t="s">
        <v>109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8">
        <v>59.0</v>
      </c>
      <c r="B60" s="11" t="s">
        <v>110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8">
        <v>60.0</v>
      </c>
      <c r="B61" s="11" t="s">
        <v>112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8">
        <v>61.0</v>
      </c>
      <c r="B62" s="11" t="s">
        <v>113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8">
        <v>62.0</v>
      </c>
      <c r="B63" s="11" t="s">
        <v>115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8">
        <v>63.0</v>
      </c>
      <c r="B64" s="11" t="s">
        <v>116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8">
        <v>64.0</v>
      </c>
      <c r="B65" s="11" t="s">
        <v>118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8">
        <v>65.0</v>
      </c>
      <c r="B66" s="11" t="s">
        <v>120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8">
        <v>66.0</v>
      </c>
      <c r="B67" s="11" t="s">
        <v>123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8">
        <v>67.0</v>
      </c>
      <c r="B68" s="11" t="s">
        <v>125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8">
        <v>68.0</v>
      </c>
      <c r="B69" s="11" t="s">
        <v>127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8">
        <v>69.0</v>
      </c>
      <c r="B70" s="11" t="s">
        <v>128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8">
        <v>70.0</v>
      </c>
      <c r="B71" s="11" t="s">
        <v>130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8">
        <v>71.0</v>
      </c>
      <c r="B72" s="11" t="s">
        <v>131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8">
        <v>72.0</v>
      </c>
      <c r="B73" s="8" t="s">
        <v>133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