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<sst xmlns="http://schemas.openxmlformats.org/spreadsheetml/2006/main" count="312" uniqueCount="178">
  <si>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</si>
  <si>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</si>
  <si>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</si>
  <si>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</si>
  <si>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</si>
  <si>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</si>
  <si>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</si>
  <si>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</si>
  <si>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</si>
  <si>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</si>
  <si>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</si>
  <si>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</si>
  <si>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</si>
  <si>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</si>
  <si>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</si>
  <si>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</si>
  <si>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</si>
  <si>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</si>
  <si>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</si>
  <si>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</si>
  <si>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</si>
  <si>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</si>
  <si>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</si>
  <si>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</si>
  <si>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</si>
  <si>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</si>
  <si>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</si>
  <si>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</si>
  <si>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</si>
  <si>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</si>
  <si>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</si>
  <si>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</si>
  <si>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</si>
  <si>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</si>
  <si>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</si>
  <si>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</si>
  <si>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</si>
  <si>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</si>
  <si>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</si>
  <si>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</si>
  <si>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</si>
  <si>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</si>
  <si>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</si>
  <si>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</si>
  <si>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</si>
  <si>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</si>
  <si>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</si>
  <si>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</si>
  <si>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</si>
  <si>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</si>
  <si>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</si>
  <si>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</si>
  <si>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</si>
  <si>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</si>
  <si>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</si>
  <si>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</si>
  <si>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</si>
  <si>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</si>
  <si>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</si>
  <si>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</si>
  <si>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</si>
  <si>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</si>
  <si>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</si>
  <si>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</si>
  <si>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</si>
  <si>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</si>
  <si>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1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</si>
  <si>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</si>
  <si>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</si>
  <si>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</si>
  <si>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</si>
  <si>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</si>
  <si>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</si>
  <si>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</si>
  <si>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</si>
  <si>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</si>
  <si>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</si>
  <si>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</si>
  <si>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</si>
  <si>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</si>
  <si>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</si>
  <si>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</si>
  <si>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</si>
  <si>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</si>
  <si>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</si>
  <si>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</si>
  <si>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</si>
  <si>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</si>
  <si>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</si>
  <si>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</si>
  <si>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</si>
  <si>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</si>
  <si>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</si>
  <si>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Round 2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</si>
  <si>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</si>
  <si>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</si>
  <si>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</si>
  <si>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</si>
  <si>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</si>
  <si>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</si>
  <si>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</si>
  <si>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Round 3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</si>
  <si>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</si>
  <si>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</si>
  <si>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</si>
  <si>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</si>
  <si>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</si>
  <si>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</si>
  <si>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</si>
  <si>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Round 4</t>
  </si>
  <si>
    <t>Noah Whittington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</si>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</sst>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4" numFmtId="1" xfId="0" applyAlignment="1" applyFont="1" applyNumberFormat="1">
      <alignment horizontal="right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20">
        <f t="shared" ref="L2:L74" si="7">D2</f>
        <v>134.5</v>
      </c>
      <c r="M2" s="11"/>
      <c r="N2" s="11"/>
      <c r="O2" s="8" t="s">
        <v>66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20">
        <f t="shared" si="7"/>
        <v>100.5</v>
      </c>
      <c r="M3" s="11"/>
      <c r="N3" s="11"/>
      <c r="O3" s="8" t="s">
        <v>93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20">
        <f t="shared" si="7"/>
        <v>93</v>
      </c>
      <c r="M4" s="11"/>
      <c r="N4" s="11"/>
      <c r="O4" s="8" t="s">
        <v>101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20">
        <f t="shared" si="7"/>
        <v>80.5</v>
      </c>
      <c r="M5" s="11"/>
      <c r="N5" s="11"/>
      <c r="O5" s="8" t="s">
        <v>109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20">
        <f t="shared" si="7"/>
        <v>75.5</v>
      </c>
      <c r="M6" s="11"/>
      <c r="N6" s="11"/>
      <c r="O6" s="8" t="s">
        <v>111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20">
        <f t="shared" si="7"/>
        <v>68.5</v>
      </c>
      <c r="M7" s="11"/>
      <c r="N7" s="11"/>
      <c r="O7" s="8" t="s">
        <v>112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20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20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20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20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20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20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20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20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20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20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20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20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20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20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20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20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20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20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20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20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20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20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20">
        <f t="shared" si="7"/>
        <v>6.5</v>
      </c>
      <c r="M30" s="11"/>
      <c r="N30" s="11"/>
      <c r="O30" s="6">
        <v>1.0</v>
      </c>
      <c r="P30" s="8" t="s">
        <v>122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20">
        <f t="shared" si="7"/>
        <v>6.5</v>
      </c>
      <c r="M31" s="11"/>
      <c r="N31" s="11"/>
      <c r="O31" s="6">
        <v>2.0</v>
      </c>
      <c r="P31" s="8" t="s">
        <v>123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20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20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20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20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20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20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20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20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20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20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20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20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20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20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20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20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20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20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20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20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20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20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20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20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20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20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20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20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20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20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20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20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20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20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20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20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20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20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20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20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20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20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20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32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46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48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43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49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34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51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52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54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78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36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38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45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62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63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58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53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56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67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69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85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76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97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57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65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72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61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70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100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106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82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104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74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96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81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71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90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89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95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80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94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10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2">
        <f>L4-L7
</f>
        <v>180</v>
      </c>
    </row>
    <row r="9">
      <c r="A9" s="2">
        <v>8.0</v>
      </c>
      <c r="B9" s="10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12">
        <f>L6-L8
</f>
        <v>1020</v>
      </c>
    </row>
    <row r="10">
      <c r="A10" s="2">
        <v>9.0</v>
      </c>
      <c r="B10" s="10" t="s">
        <v>36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12">
        <f>IF(L3&gt;1,L9/(L3-1),0)</f>
        <v>92.72727273</v>
      </c>
    </row>
    <row r="11">
      <c r="A11" s="2">
        <v>10.0</v>
      </c>
      <c r="B11" s="10" t="s">
        <v>38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39</v>
      </c>
      <c r="L11" s="18">
        <f>IF(L10&gt;0,L8/L10,1)</f>
        <v>1.941176471</v>
      </c>
    </row>
    <row r="12">
      <c r="A12" s="2">
        <v>11.0</v>
      </c>
      <c r="B12" s="10" t="s">
        <v>40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41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42</v>
      </c>
      <c r="L13" s="17">
        <f>SUMIF($D$2:$D$73,"",$C$2:$C$73)</f>
        <v>1200</v>
      </c>
    </row>
    <row r="14">
      <c r="A14" s="2">
        <v>13.0</v>
      </c>
      <c r="B14" s="10" t="s">
        <v>43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44</v>
      </c>
      <c r="L14" s="18">
        <f>IF(L13&gt;0,L6/L13,1)</f>
        <v>1</v>
      </c>
    </row>
    <row r="15">
      <c r="A15" s="2">
        <v>14.0</v>
      </c>
      <c r="B15" s="10" t="s">
        <v>45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46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47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48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49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50</v>
      </c>
      <c r="L18" s="19">
        <f>L5/L2</f>
        <v>0</v>
      </c>
    </row>
    <row r="19">
      <c r="A19" s="2">
        <v>18.0</v>
      </c>
      <c r="B19" s="10" t="s">
        <v>51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52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53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54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55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56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57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58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59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60</v>
      </c>
      <c r="L27" s="2">
        <v>0.8</v>
      </c>
    </row>
    <row r="28">
      <c r="A28" s="2">
        <v>27.0</v>
      </c>
      <c r="B28" s="10" t="s">
        <v>61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62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63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64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65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67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68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69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70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71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72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73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74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75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76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77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78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79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80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81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82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83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84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85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86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87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88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89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90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91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92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94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95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96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97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98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99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100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102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103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104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105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106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107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108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110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