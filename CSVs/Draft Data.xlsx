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<sst xmlns="http://schemas.openxmlformats.org/spreadsheetml/2006/main" count="388" uniqueCount="178">
  <si>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</si>
  <si>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</si>
  <si>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</si>
  <si>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</si>
  <si>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</si>
  <si>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</si>
  <si>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</si>
  <si>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</si>
  <si>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</si>
  <si>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</si>
  <si>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</si>
  <si>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</si>
  <si>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</si>
  <si>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</si>
  <si>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</si>
  <si>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</si>
  <si>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</si>
  <si>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</si>
  <si>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</si>
  <si>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</si>
  <si>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</si>
  <si>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</si>
  <si>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</si>
  <si>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</si>
  <si>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</si>
  <si>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</si>
  <si>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Blaine</t>
  </si>
  <si>
    <t>Jason</t>
  </si>
  <si>
    <t>Brent</t>
  </si>
  <si>
    <t>Joey</t>
  </si>
  <si>
    <t>MaKayla</t>
  </si>
  <si>
    <t>Collin</t>
  </si>
  <si>
    <t>Ty</t>
  </si>
  <si>
    <t>Kich</t>
  </si>
  <si>
    <t>Eric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</si>
  <si>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</si>
  <si>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</si>
  <si>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</si>
  <si>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</si>
  <si>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</si>
  <si>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</si>
  <si>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</si>
  <si>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</si>
  <si>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</si>
  <si>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</si>
  <si>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</si>
  <si>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</si>
  <si>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</si>
  <si>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</si>
  <si>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</si>
  <si>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</si>
  <si>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</si>
  <si>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</si>
  <si>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</si>
  <si>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</si>
  <si>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</si>
  <si>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</si>
  <si>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</si>
  <si>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</si>
  <si>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</si>
  <si>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</si>
  <si>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</si>
  <si>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</si>
  <si>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</si>
  <si>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</si>
  <si>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</si>
  <si>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</si>
  <si>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</si>
  <si>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</si>
  <si>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</si>
  <si>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</si>
  <si>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</si>
  <si>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</si>
  <si>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</si>
  <si>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</si>
  <si>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</si>
  <si>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</si>
  <si>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</si>
  <si>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</si>
  <si>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</si>
  <si>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</si>
  <si>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</si>
  <si>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</si>
  <si>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</si>
  <si>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</si>
  <si>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</si>
  <si>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</si>
  <si>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</si>
  <si>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</si>
  <si>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</si>
  <si>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</si>
  <si>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</si>
  <si>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</si>
  <si>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</si>
  <si>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</si>
  <si>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</si>
  <si>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</si>
  <si>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</si>
  <si>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</si>
  <si>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</si>
  <si>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</si>
  <si>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</si>
  <si>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</si>
  <si>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</si>
  <si>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</si>
  <si>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</si>
  <si>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</si>
  <si>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</si>
  <si>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</si>
  <si>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</si>
  <si>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</si>
  <si>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</si>
  <si>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</si>
  <si>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</si>
  <si>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</si>
  <si>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</si>
  <si>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</si>
  <si>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</si>
  <si>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</si>
  <si>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</si>
  <si>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</si>
  <si>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</si>
  <si>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</si>
  <si>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</si>
  <si>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</si>
  <si>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</si>
  <si>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</si>
  <si>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</si>
  <si>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</si>
  <si>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</si>
  <si>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</si>
  <si>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</si>
  <si>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</si>
  <si>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</si>
  <si>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</si>
  <si>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</si>
  <si>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</si>
  <si>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</si>
  <si>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</si>
  <si>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</si>
  <si>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</si>
  <si>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</si>
  <si>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</si>
  <si>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</si>
  <si>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</si>
  <si>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</si>
  <si>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</si>
  <si>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</si>
  <si>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Omar Cooper</t>
  </si>
  <si>
    <t>CJ Allen</t>
  </si>
  <si>
    <t>Undrafted Predraft$</t>
  </si>
  <si>
    <t>Inflation Factor</t>
  </si>
  <si>
    <t>Aggression</t>
  </si>
  <si>
    <t>League Spent %</t>
  </si>
  <si>
    <t>Rueben Bain</t>
  </si>
  <si>
    <t>Mike Washington</t>
  </si>
  <si>
    <t>Enforce % of Fair</t>
  </si>
  <si>
    <t>Chris Brazzell</t>
  </si>
  <si>
    <t>De'Zhaun Stribling</t>
  </si>
  <si>
    <t>Anthony Hill</t>
  </si>
  <si>
    <t>A.J. Haulcy</t>
  </si>
  <si>
    <t>Dani Dennis-Sutton</t>
  </si>
  <si>
    <t>R Mason Thomas</t>
  </si>
  <si>
    <t>Malachi Lawrence</t>
  </si>
  <si>
    <t>CJ Donaldson</t>
  </si>
  <si>
    <t>Cashius Howell</t>
  </si>
  <si>
    <t>Keldric Faulk</t>
  </si>
  <si>
    <t>Akheem Mesidor</t>
  </si>
  <si>
    <t>DJ Rogers</t>
  </si>
  <si>
    <t>Lake McRee</t>
  </si>
  <si>
    <t>Sam Roush</t>
  </si>
  <si>
    <t>Tanner Koziol</t>
  </si>
  <si>
    <t>Matthew Hibner</t>
  </si>
  <si>
    <t>Tyren Montgomery</t>
  </si>
  <si>
    <t>Kevin Coleman</t>
  </si>
  <si>
    <t>Nate Boerkircher</t>
  </si>
  <si>
    <t>Will Kacmarek</t>
  </si>
  <si>
    <t>Noah Whittington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</si>
</sst>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16</v>
      </c>
      <c r="P29" s="6" t="s">
        <v>17</v>
      </c>
      <c r="Q29" s="8"/>
      <c r="R29" s="6" t="s">
        <v>18</v>
      </c>
      <c r="S29" s="6" t="s">
        <v>19</v>
      </c>
      <c r="T29" s="6" t="s">
        <v>20</v>
      </c>
      <c r="U29" s="8"/>
      <c r="V29" s="6" t="s">
        <v>21</v>
      </c>
      <c r="W29" s="6" t="s">
        <v>22</v>
      </c>
      <c r="X29" s="6" t="s">
        <v>23</v>
      </c>
      <c r="Y29" s="6" t="s">
        <v>24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25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3">
        <v>1.0</v>
      </c>
      <c r="W30" s="13" t="s">
        <v>26</v>
      </c>
      <c r="X30" s="14" t="s">
        <v>27</v>
      </c>
      <c r="Y30" s="8" t="str">
        <f t="shared" ref="Y30:Y81" si="17">TEXT(V30,"0")&amp;"|"&amp;TRIM(W30)</f>
        <v>1|Blaine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28</v>
      </c>
      <c r="Q31" s="8"/>
      <c r="R31" s="4">
        <v>11.0</v>
      </c>
      <c r="S31" s="8"/>
      <c r="T31" s="8" t="str">
        <f t="shared" si="16"/>
        <v>Brent</v>
      </c>
      <c r="U31" s="8"/>
      <c r="V31" s="5">
        <v>1.0</v>
      </c>
      <c r="W31" s="14" t="s">
        <v>25</v>
      </c>
      <c r="X31" s="14" t="s">
        <v>27</v>
      </c>
      <c r="Y31" s="8" t="str">
        <f t="shared" si="17"/>
        <v>1|Ed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29</v>
      </c>
      <c r="Q32" s="8"/>
      <c r="R32" s="4">
        <v>10.0</v>
      </c>
      <c r="S32" s="8"/>
      <c r="T32" s="8" t="str">
        <f t="shared" si="16"/>
        <v>Joey</v>
      </c>
      <c r="U32" s="8"/>
      <c r="V32" s="5">
        <v>2.0</v>
      </c>
      <c r="W32" s="14" t="s">
        <v>26</v>
      </c>
      <c r="X32" s="14" t="s">
        <v>27</v>
      </c>
      <c r="Y32" s="8" t="str">
        <f t="shared" si="17"/>
        <v>2|Blaine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30</v>
      </c>
      <c r="Q33" s="8"/>
      <c r="R33" s="4">
        <v>9.0</v>
      </c>
      <c r="S33" s="8"/>
      <c r="T33" s="8" t="str">
        <f t="shared" si="16"/>
        <v>MaKayla</v>
      </c>
      <c r="U33" s="8"/>
      <c r="V33" s="5">
        <v>2.0</v>
      </c>
      <c r="W33" s="14" t="s">
        <v>31</v>
      </c>
      <c r="X33" s="14" t="s">
        <v>27</v>
      </c>
      <c r="Y33" s="8" t="str">
        <f t="shared" si="17"/>
        <v>2|Collin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32</v>
      </c>
      <c r="Q34" s="8"/>
      <c r="R34" s="4">
        <v>8.0</v>
      </c>
      <c r="S34" s="8"/>
      <c r="T34" s="8" t="str">
        <f t="shared" si="16"/>
        <v>Ty</v>
      </c>
      <c r="U34" s="8"/>
      <c r="V34" s="5">
        <v>2.0</v>
      </c>
      <c r="W34" s="14" t="s">
        <v>33</v>
      </c>
      <c r="X34" s="14" t="s">
        <v>27</v>
      </c>
      <c r="Y34" s="8" t="str">
        <f t="shared" si="17"/>
        <v>2|Kich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33</v>
      </c>
      <c r="Q35" s="8"/>
      <c r="R35" s="4">
        <v>7.0</v>
      </c>
      <c r="S35" s="8"/>
      <c r="T35" s="8" t="str">
        <f t="shared" si="16"/>
        <v>Kich</v>
      </c>
      <c r="U35" s="8"/>
      <c r="V35" s="5">
        <v>2.0</v>
      </c>
      <c r="W35" s="14" t="s">
        <v>32</v>
      </c>
      <c r="X35" s="14" t="s">
        <v>27</v>
      </c>
      <c r="Y35" s="8" t="str">
        <f t="shared" si="17"/>
        <v>2|Ty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34</v>
      </c>
      <c r="Q36" s="8"/>
      <c r="R36" s="4">
        <v>6.0</v>
      </c>
      <c r="S36" s="8"/>
      <c r="T36" s="8" t="str">
        <f t="shared" si="16"/>
        <v>Eric</v>
      </c>
      <c r="U36" s="8"/>
      <c r="V36" s="5">
        <v>2.0</v>
      </c>
      <c r="W36" s="14" t="s">
        <v>29</v>
      </c>
      <c r="X36" s="14" t="s">
        <v>27</v>
      </c>
      <c r="Y36" s="8" t="str">
        <f t="shared" si="17"/>
        <v>2|Joey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31</v>
      </c>
      <c r="Q37" s="8"/>
      <c r="R37" s="4">
        <v>5.0</v>
      </c>
      <c r="S37" s="8"/>
      <c r="T37" s="8" t="str">
        <f t="shared" si="16"/>
        <v>Collin</v>
      </c>
      <c r="U37" s="8"/>
      <c r="V37" s="5">
        <v>3.0</v>
      </c>
      <c r="W37" s="14" t="s">
        <v>35</v>
      </c>
      <c r="X37" s="14" t="s">
        <v>27</v>
      </c>
      <c r="Y37" s="8" t="str">
        <f t="shared" si="17"/>
        <v>3|Roy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35</v>
      </c>
      <c r="Q38" s="8"/>
      <c r="R38" s="4">
        <v>4.0</v>
      </c>
      <c r="S38" s="8"/>
      <c r="T38" s="8" t="str">
        <f t="shared" si="16"/>
        <v>Roy</v>
      </c>
      <c r="U38" s="8"/>
      <c r="V38" s="5">
        <v>3.0</v>
      </c>
      <c r="W38" s="14" t="s">
        <v>28</v>
      </c>
      <c r="X38" s="14" t="s">
        <v>27</v>
      </c>
      <c r="Y38" s="8" t="str">
        <f t="shared" si="17"/>
        <v>3|Brent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27</v>
      </c>
      <c r="Q39" s="8"/>
      <c r="R39" s="4">
        <v>3.0</v>
      </c>
      <c r="S39" s="8"/>
      <c r="T39" s="8" t="str">
        <f t="shared" si="16"/>
        <v>Jason</v>
      </c>
      <c r="U39" s="8"/>
      <c r="V39" s="5">
        <v>4.0</v>
      </c>
      <c r="W39" s="14" t="s">
        <v>35</v>
      </c>
      <c r="X39" s="14" t="s">
        <v>27</v>
      </c>
      <c r="Y39" s="8" t="str">
        <f t="shared" si="17"/>
        <v>4|Roy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26</v>
      </c>
      <c r="Q40" s="8"/>
      <c r="R40" s="4">
        <v>2.0</v>
      </c>
      <c r="S40" s="8"/>
      <c r="T40" s="8" t="str">
        <f t="shared" si="16"/>
        <v>Blaine</v>
      </c>
      <c r="U40" s="8"/>
      <c r="V40" s="5">
        <v>4.0</v>
      </c>
      <c r="W40" s="14" t="s">
        <v>31</v>
      </c>
      <c r="X40" s="14" t="s">
        <v>27</v>
      </c>
      <c r="Y40" s="8" t="str">
        <f t="shared" si="17"/>
        <v>4|Collin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36</v>
      </c>
      <c r="Q41" s="8"/>
      <c r="R41" s="4">
        <v>1.0</v>
      </c>
      <c r="S41" s="8"/>
      <c r="T41" s="8" t="str">
        <f t="shared" si="16"/>
        <v>Joel</v>
      </c>
      <c r="U41" s="8"/>
      <c r="V41" s="5">
        <v>4.0</v>
      </c>
      <c r="W41" s="14" t="s">
        <v>34</v>
      </c>
      <c r="X41" s="14" t="s">
        <v>27</v>
      </c>
      <c r="Y41" s="8" t="str">
        <f t="shared" si="17"/>
        <v>4|Eric</v>
      </c>
      <c r="Z41" s="8"/>
      <c r="AA41" s="8"/>
      <c r="AB41" s="8"/>
      <c r="AC41" s="8"/>
      <c r="AD41" s="8"/>
    </row>
    <row r="42">
      <c r="A42" s="9">
        <v>4.05</v>
      </c>
      <c r="B42" s="1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>
        <v>4.0</v>
      </c>
      <c r="W42" s="14" t="s">
        <v>30</v>
      </c>
      <c r="X42" s="14" t="s">
        <v>27</v>
      </c>
      <c r="Y42" s="8" t="str">
        <f t="shared" si="17"/>
        <v>4|MaKayla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>
        <v>4.0</v>
      </c>
      <c r="W43" s="14" t="s">
        <v>28</v>
      </c>
      <c r="X43" s="14" t="s">
        <v>27</v>
      </c>
      <c r="Y43" s="8" t="str">
        <f t="shared" si="17"/>
        <v>4|Brent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21</v>
      </c>
      <c r="P44" s="6" t="s">
        <v>9</v>
      </c>
      <c r="Q44" s="6" t="s">
        <v>37</v>
      </c>
      <c r="R44" s="6" t="s">
        <v>17</v>
      </c>
      <c r="S44" s="8"/>
      <c r="T44" s="8"/>
      <c r="U44" s="8"/>
      <c r="V44" s="5">
        <v>4.0</v>
      </c>
      <c r="W44" s="14" t="s">
        <v>25</v>
      </c>
      <c r="X44" s="14" t="s">
        <v>27</v>
      </c>
      <c r="Y44" s="8" t="str">
        <f t="shared" si="17"/>
        <v>4|Ed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>
        <v>5.0</v>
      </c>
      <c r="W45" s="14" t="s">
        <v>34</v>
      </c>
      <c r="X45" s="14" t="s">
        <v>27</v>
      </c>
      <c r="Y45" s="8" t="str">
        <f t="shared" si="17"/>
        <v>5|Eric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15">
        <f t="shared" si="18"/>
        <v>1</v>
      </c>
      <c r="P46" s="15">
        <f t="shared" si="19"/>
        <v>2</v>
      </c>
      <c r="Q46" s="11">
        <f t="shared" si="20"/>
        <v>100.5</v>
      </c>
      <c r="R46" s="8" t="str">
        <f t="shared" si="21"/>
        <v>Jason</v>
      </c>
      <c r="S46" s="8"/>
      <c r="T46" s="8"/>
      <c r="U46" s="8"/>
      <c r="V46" s="5">
        <v>1.0</v>
      </c>
      <c r="W46" s="14" t="s">
        <v>34</v>
      </c>
      <c r="X46" s="14" t="s">
        <v>25</v>
      </c>
      <c r="Y46" s="8" t="str">
        <f t="shared" si="17"/>
        <v>1|Eric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15">
        <f t="shared" si="18"/>
        <v>1</v>
      </c>
      <c r="P47" s="15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>
        <v>1.0</v>
      </c>
      <c r="W47" s="14" t="s">
        <v>30</v>
      </c>
      <c r="X47" s="14" t="s">
        <v>25</v>
      </c>
      <c r="Y47" s="8" t="str">
        <f t="shared" si="17"/>
        <v>1|MaKayla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15">
        <f t="shared" si="18"/>
        <v>1</v>
      </c>
      <c r="P48" s="15">
        <f t="shared" si="19"/>
        <v>4</v>
      </c>
      <c r="Q48" s="11">
        <f t="shared" si="20"/>
        <v>80.5</v>
      </c>
      <c r="R48" s="8" t="str">
        <f t="shared" si="21"/>
        <v>MaKayla</v>
      </c>
      <c r="S48" s="8"/>
      <c r="T48" s="8"/>
      <c r="U48" s="8"/>
      <c r="V48" s="5">
        <v>2.0</v>
      </c>
      <c r="W48" s="14" t="s">
        <v>35</v>
      </c>
      <c r="X48" s="14" t="s">
        <v>25</v>
      </c>
      <c r="Y48" s="8" t="str">
        <f t="shared" si="17"/>
        <v>2|Roy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15">
        <f t="shared" si="18"/>
        <v>1</v>
      </c>
      <c r="P49" s="15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>
        <v>5.0</v>
      </c>
      <c r="W49" s="14" t="s">
        <v>28</v>
      </c>
      <c r="X49" s="14" t="s">
        <v>25</v>
      </c>
      <c r="Y49" s="8" t="str">
        <f t="shared" si="17"/>
        <v>5|Brent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15">
        <f t="shared" si="18"/>
        <v>1</v>
      </c>
      <c r="P50" s="15">
        <f t="shared" si="19"/>
        <v>6</v>
      </c>
      <c r="Q50" s="11">
        <f t="shared" si="20"/>
        <v>68.5</v>
      </c>
      <c r="R50" s="8" t="str">
        <f t="shared" si="21"/>
        <v>Ed</v>
      </c>
      <c r="S50" s="8"/>
      <c r="T50" s="8"/>
      <c r="U50" s="8"/>
      <c r="V50" s="5">
        <v>6.0</v>
      </c>
      <c r="W50" s="14" t="s">
        <v>28</v>
      </c>
      <c r="X50" s="14" t="s">
        <v>25</v>
      </c>
      <c r="Y50" s="8" t="str">
        <f t="shared" si="17"/>
        <v>6|Brent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15">
        <f t="shared" si="18"/>
        <v>1</v>
      </c>
      <c r="P51" s="15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>
        <v>1.0</v>
      </c>
      <c r="W51" s="14" t="s">
        <v>28</v>
      </c>
      <c r="X51" s="14" t="s">
        <v>32</v>
      </c>
      <c r="Y51" s="8" t="str">
        <f t="shared" si="17"/>
        <v>1|Brent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15">
        <f t="shared" si="18"/>
        <v>1</v>
      </c>
      <c r="P52" s="15">
        <f t="shared" si="19"/>
        <v>8</v>
      </c>
      <c r="Q52" s="11">
        <f t="shared" si="20"/>
        <v>53.5</v>
      </c>
      <c r="R52" s="8" t="str">
        <f t="shared" si="21"/>
        <v>MaKayla</v>
      </c>
      <c r="S52" s="8"/>
      <c r="T52" s="8"/>
      <c r="U52" s="8"/>
      <c r="V52" s="5">
        <v>2.0</v>
      </c>
      <c r="W52" s="14" t="s">
        <v>28</v>
      </c>
      <c r="X52" s="14" t="s">
        <v>32</v>
      </c>
      <c r="Y52" s="8" t="str">
        <f t="shared" si="17"/>
        <v>2|Brent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15">
        <f t="shared" si="18"/>
        <v>1</v>
      </c>
      <c r="P53" s="15">
        <f t="shared" si="19"/>
        <v>9</v>
      </c>
      <c r="Q53" s="11">
        <f t="shared" si="20"/>
        <v>46</v>
      </c>
      <c r="R53" s="8" t="str">
        <f t="shared" si="21"/>
        <v>Ed</v>
      </c>
      <c r="S53" s="8"/>
      <c r="T53" s="8"/>
      <c r="U53" s="8"/>
      <c r="V53" s="5">
        <v>5.0</v>
      </c>
      <c r="W53" s="14" t="s">
        <v>27</v>
      </c>
      <c r="X53" s="14" t="s">
        <v>32</v>
      </c>
      <c r="Y53" s="8" t="str">
        <f t="shared" si="17"/>
        <v>5|Jason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15">
        <f t="shared" si="18"/>
        <v>1</v>
      </c>
      <c r="P54" s="15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>
        <v>6.0</v>
      </c>
      <c r="W54" s="14" t="s">
        <v>27</v>
      </c>
      <c r="X54" s="14" t="s">
        <v>32</v>
      </c>
      <c r="Y54" s="8" t="str">
        <f t="shared" si="17"/>
        <v>6|Jason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15">
        <f t="shared" si="18"/>
        <v>1</v>
      </c>
      <c r="P55" s="15">
        <f t="shared" si="19"/>
        <v>11</v>
      </c>
      <c r="Q55" s="11">
        <f t="shared" si="20"/>
        <v>41</v>
      </c>
      <c r="R55" s="8" t="str">
        <f t="shared" si="21"/>
        <v>Ty</v>
      </c>
      <c r="S55" s="8"/>
      <c r="T55" s="8"/>
      <c r="U55" s="8"/>
      <c r="V55" s="5">
        <v>2.0</v>
      </c>
      <c r="W55" s="14" t="s">
        <v>27</v>
      </c>
      <c r="X55" s="14" t="s">
        <v>31</v>
      </c>
      <c r="Y55" s="8" t="str">
        <f t="shared" si="17"/>
        <v>2|Jason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15">
        <f t="shared" si="18"/>
        <v>1</v>
      </c>
      <c r="P56" s="15">
        <f t="shared" si="19"/>
        <v>12</v>
      </c>
      <c r="Q56" s="11">
        <f t="shared" si="20"/>
        <v>35.5</v>
      </c>
      <c r="R56" s="8" t="str">
        <f t="shared" si="21"/>
        <v>Jason</v>
      </c>
      <c r="S56" s="8"/>
      <c r="T56" s="8"/>
      <c r="U56" s="8"/>
      <c r="V56" s="5">
        <v>2.0</v>
      </c>
      <c r="W56" s="14" t="s">
        <v>34</v>
      </c>
      <c r="X56" s="14" t="s">
        <v>31</v>
      </c>
      <c r="Y56" s="8" t="str">
        <f t="shared" si="17"/>
        <v>2|Eric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15">
        <f t="shared" si="18"/>
        <v>2</v>
      </c>
      <c r="P57" s="15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>
        <v>2.0</v>
      </c>
      <c r="W57" s="14" t="s">
        <v>25</v>
      </c>
      <c r="X57" s="14" t="s">
        <v>31</v>
      </c>
      <c r="Y57" s="8" t="str">
        <f t="shared" si="17"/>
        <v>2|Ed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15">
        <f t="shared" si="18"/>
        <v>2</v>
      </c>
      <c r="P58" s="15">
        <f t="shared" si="19"/>
        <v>2</v>
      </c>
      <c r="Q58" s="11">
        <f t="shared" si="20"/>
        <v>28.5</v>
      </c>
      <c r="R58" s="8" t="str">
        <f t="shared" si="21"/>
        <v>Jason</v>
      </c>
      <c r="S58" s="8"/>
      <c r="T58" s="8"/>
      <c r="U58" s="8"/>
      <c r="V58" s="13">
        <v>4.0</v>
      </c>
      <c r="W58" s="13" t="s">
        <v>29</v>
      </c>
      <c r="X58" s="14" t="s">
        <v>31</v>
      </c>
      <c r="Y58" s="8" t="str">
        <f t="shared" si="17"/>
        <v>4|Joey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15">
        <f t="shared" si="18"/>
        <v>2</v>
      </c>
      <c r="P59" s="15">
        <f t="shared" si="19"/>
        <v>3</v>
      </c>
      <c r="Q59" s="11">
        <f t="shared" si="20"/>
        <v>26.5</v>
      </c>
      <c r="R59" s="8" t="str">
        <f t="shared" si="21"/>
        <v>Collin</v>
      </c>
      <c r="S59" s="8"/>
      <c r="T59" s="8"/>
      <c r="U59" s="8"/>
      <c r="V59" s="13">
        <v>5.0</v>
      </c>
      <c r="W59" s="13" t="s">
        <v>29</v>
      </c>
      <c r="X59" s="14" t="s">
        <v>31</v>
      </c>
      <c r="Y59" s="8" t="str">
        <f t="shared" si="17"/>
        <v>5|Joey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15">
        <f t="shared" si="18"/>
        <v>2</v>
      </c>
      <c r="P60" s="15">
        <f t="shared" si="19"/>
        <v>4</v>
      </c>
      <c r="Q60" s="11">
        <f t="shared" si="20"/>
        <v>24</v>
      </c>
      <c r="R60" s="8" t="str">
        <f t="shared" si="21"/>
        <v>Ed</v>
      </c>
      <c r="S60" s="8"/>
      <c r="T60" s="8"/>
      <c r="U60" s="8"/>
      <c r="V60" s="13">
        <v>1.0</v>
      </c>
      <c r="W60" s="13" t="s">
        <v>35</v>
      </c>
      <c r="X60" s="14" t="s">
        <v>30</v>
      </c>
      <c r="Y60" s="8" t="str">
        <f t="shared" si="17"/>
        <v>1|Roy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15">
        <f t="shared" si="18"/>
        <v>2</v>
      </c>
      <c r="P61" s="15">
        <f t="shared" si="19"/>
        <v>5</v>
      </c>
      <c r="Q61" s="11">
        <f t="shared" si="20"/>
        <v>21.5</v>
      </c>
      <c r="R61" s="8" t="str">
        <f t="shared" si="21"/>
        <v>Jason</v>
      </c>
      <c r="S61" s="8"/>
      <c r="T61" s="8"/>
      <c r="U61" s="8"/>
      <c r="V61" s="5">
        <v>1.0</v>
      </c>
      <c r="W61" s="14" t="s">
        <v>32</v>
      </c>
      <c r="X61" s="14" t="s">
        <v>30</v>
      </c>
      <c r="Y61" s="8" t="str">
        <f t="shared" si="17"/>
        <v>1|Ty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15">
        <f t="shared" si="18"/>
        <v>2</v>
      </c>
      <c r="P62" s="15">
        <f t="shared" si="19"/>
        <v>6</v>
      </c>
      <c r="Q62" s="11">
        <f t="shared" si="20"/>
        <v>19</v>
      </c>
      <c r="R62" s="8" t="str">
        <f t="shared" si="21"/>
        <v>Collin</v>
      </c>
      <c r="S62" s="8"/>
      <c r="T62" s="8" t="s">
        <v>38</v>
      </c>
      <c r="U62" s="8" t="s">
        <v>39</v>
      </c>
      <c r="V62" s="14">
        <v>3.0</v>
      </c>
      <c r="W62" s="14" t="s">
        <v>34</v>
      </c>
      <c r="X62" s="14" t="s">
        <v>35</v>
      </c>
      <c r="Y62" s="8" t="str">
        <f t="shared" si="17"/>
        <v>3|Eric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15">
        <f t="shared" si="18"/>
        <v>2</v>
      </c>
      <c r="P63" s="15">
        <f t="shared" si="19"/>
        <v>7</v>
      </c>
      <c r="Q63" s="11">
        <f t="shared" si="20"/>
        <v>17.5</v>
      </c>
      <c r="R63" s="8" t="str">
        <f t="shared" si="21"/>
        <v>Jason</v>
      </c>
      <c r="S63" s="8"/>
      <c r="T63" s="6" t="s">
        <v>27</v>
      </c>
      <c r="U63" s="11">
        <f t="shared" ref="U63:U74" si="22">SUMIF($R$45:$R$116, T63, $Q$45:$Q$116)</f>
        <v>361</v>
      </c>
      <c r="V63" s="14">
        <v>3.0</v>
      </c>
      <c r="W63" s="14" t="s">
        <v>33</v>
      </c>
      <c r="X63" s="14" t="s">
        <v>35</v>
      </c>
      <c r="Y63" s="8" t="str">
        <f t="shared" si="17"/>
        <v>3|Kich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15">
        <f t="shared" si="18"/>
        <v>2</v>
      </c>
      <c r="P64" s="15">
        <f t="shared" si="19"/>
        <v>8</v>
      </c>
      <c r="Q64" s="11">
        <f t="shared" si="20"/>
        <v>16</v>
      </c>
      <c r="R64" s="8" t="str">
        <f t="shared" si="21"/>
        <v>Jason</v>
      </c>
      <c r="S64" s="8"/>
      <c r="T64" s="8" t="s">
        <v>36</v>
      </c>
      <c r="U64" s="11">
        <f t="shared" si="22"/>
        <v>180</v>
      </c>
      <c r="V64" s="13">
        <v>4.0</v>
      </c>
      <c r="W64" s="13" t="s">
        <v>27</v>
      </c>
      <c r="X64" s="14" t="s">
        <v>29</v>
      </c>
      <c r="Y64" s="8" t="str">
        <f t="shared" si="17"/>
        <v>4|Jason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15">
        <f t="shared" si="18"/>
        <v>2</v>
      </c>
      <c r="P65" s="15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8" t="s">
        <v>30</v>
      </c>
      <c r="U65" s="11">
        <f t="shared" si="22"/>
        <v>151</v>
      </c>
      <c r="V65" s="14">
        <v>6.0</v>
      </c>
      <c r="W65" s="14" t="s">
        <v>34</v>
      </c>
      <c r="X65" s="14" t="s">
        <v>29</v>
      </c>
      <c r="Y65" s="8" t="str">
        <f t="shared" si="17"/>
        <v>6|Eric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15">
        <f t="shared" si="18"/>
        <v>2</v>
      </c>
      <c r="P66" s="15">
        <f t="shared" si="19"/>
        <v>10</v>
      </c>
      <c r="Q66" s="11">
        <f t="shared" si="20"/>
        <v>13.5</v>
      </c>
      <c r="R66" s="8" t="str">
        <f t="shared" si="21"/>
        <v>Jason</v>
      </c>
      <c r="S66" s="8"/>
      <c r="T66" s="8" t="s">
        <v>25</v>
      </c>
      <c r="U66" s="11">
        <f t="shared" si="22"/>
        <v>148.5</v>
      </c>
      <c r="V66" s="5">
        <v>6.0</v>
      </c>
      <c r="W66" s="14" t="s">
        <v>31</v>
      </c>
      <c r="X66" s="14" t="s">
        <v>33</v>
      </c>
      <c r="Y66" s="8" t="str">
        <f t="shared" si="17"/>
        <v>6|Collin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15">
        <f t="shared" si="18"/>
        <v>2</v>
      </c>
      <c r="P67" s="15">
        <f t="shared" si="19"/>
        <v>11</v>
      </c>
      <c r="Q67" s="11">
        <f t="shared" si="20"/>
        <v>11</v>
      </c>
      <c r="R67" s="8" t="str">
        <f t="shared" si="21"/>
        <v>Ty</v>
      </c>
      <c r="S67" s="8"/>
      <c r="T67" s="8" t="s">
        <v>31</v>
      </c>
      <c r="U67" s="11">
        <f t="shared" si="22"/>
        <v>143.5</v>
      </c>
      <c r="V67" s="5">
        <v>3.0</v>
      </c>
      <c r="W67" s="14" t="s">
        <v>30</v>
      </c>
      <c r="X67" s="14" t="s">
        <v>26</v>
      </c>
      <c r="Y67" s="8" t="str">
        <f t="shared" si="17"/>
        <v>3|MaKayla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15">
        <f t="shared" si="18"/>
        <v>2</v>
      </c>
      <c r="P68" s="15">
        <f t="shared" si="19"/>
        <v>12</v>
      </c>
      <c r="Q68" s="11">
        <f t="shared" si="20"/>
        <v>10</v>
      </c>
      <c r="R68" s="8" t="str">
        <f t="shared" si="21"/>
        <v>Collin</v>
      </c>
      <c r="S68" s="8"/>
      <c r="T68" s="8" t="s">
        <v>33</v>
      </c>
      <c r="U68" s="11">
        <f t="shared" si="22"/>
        <v>61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1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15">
        <f t="shared" si="18"/>
        <v>3</v>
      </c>
      <c r="P69" s="15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32</v>
      </c>
      <c r="U69" s="11">
        <f t="shared" si="22"/>
        <v>66</v>
      </c>
      <c r="V69" s="13"/>
      <c r="W69" s="1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15">
        <f t="shared" si="18"/>
        <v>3</v>
      </c>
      <c r="P70" s="15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29</v>
      </c>
      <c r="U70" s="11">
        <f t="shared" si="22"/>
        <v>54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15">
        <f t="shared" si="18"/>
        <v>3</v>
      </c>
      <c r="P71" s="15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26</v>
      </c>
      <c r="U71" s="11">
        <f t="shared" si="22"/>
        <v>20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1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15">
        <f t="shared" si="18"/>
        <v>3</v>
      </c>
      <c r="P72" s="15">
        <f t="shared" si="19"/>
        <v>4</v>
      </c>
      <c r="Q72" s="11">
        <f t="shared" si="20"/>
        <v>7</v>
      </c>
      <c r="R72" s="8" t="str">
        <f t="shared" si="21"/>
        <v>Jason</v>
      </c>
      <c r="S72" s="8"/>
      <c r="T72" s="8" t="s">
        <v>35</v>
      </c>
      <c r="U72" s="11">
        <f t="shared" si="22"/>
        <v>15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15">
        <f t="shared" si="18"/>
        <v>3</v>
      </c>
      <c r="P73" s="15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34</v>
      </c>
      <c r="U73" s="11">
        <f t="shared" si="22"/>
        <v>0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15">
        <f t="shared" si="18"/>
        <v>3</v>
      </c>
      <c r="P74" s="15">
        <f t="shared" si="19"/>
        <v>6</v>
      </c>
      <c r="Q74" s="11">
        <f t="shared" si="20"/>
        <v>6.5</v>
      </c>
      <c r="R74" s="8" t="str">
        <f t="shared" si="21"/>
        <v>Roy</v>
      </c>
      <c r="S74" s="8"/>
      <c r="T74" s="8" t="s">
        <v>28</v>
      </c>
      <c r="U74" s="11">
        <f t="shared" si="22"/>
        <v>0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15">
        <f t="shared" si="18"/>
        <v>3</v>
      </c>
      <c r="P75" s="15">
        <f t="shared" si="19"/>
        <v>7</v>
      </c>
      <c r="Q75" s="11">
        <f t="shared" si="20"/>
        <v>5.5</v>
      </c>
      <c r="R75" s="8" t="str">
        <f t="shared" si="21"/>
        <v>Roy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15">
        <f t="shared" si="18"/>
        <v>3</v>
      </c>
      <c r="P76" s="15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15">
        <f t="shared" si="18"/>
        <v>3</v>
      </c>
      <c r="P77" s="15">
        <f t="shared" si="19"/>
        <v>9</v>
      </c>
      <c r="Q77" s="11">
        <f t="shared" si="20"/>
        <v>4.5</v>
      </c>
      <c r="R77" s="8" t="str">
        <f t="shared" si="21"/>
        <v>Blaine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15">
        <f t="shared" si="18"/>
        <v>3</v>
      </c>
      <c r="P78" s="15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15">
        <f t="shared" si="18"/>
        <v>3</v>
      </c>
      <c r="P79" s="15">
        <f t="shared" si="19"/>
        <v>11</v>
      </c>
      <c r="Q79" s="11">
        <f t="shared" si="20"/>
        <v>4.5</v>
      </c>
      <c r="R79" s="8" t="str">
        <f t="shared" si="21"/>
        <v>Jason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15">
        <f t="shared" si="18"/>
        <v>3</v>
      </c>
      <c r="P80" s="15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15">
        <f t="shared" si="18"/>
        <v>4</v>
      </c>
      <c r="P81" s="15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15">
        <f t="shared" si="18"/>
        <v>4</v>
      </c>
      <c r="P82" s="15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15">
        <f t="shared" si="18"/>
        <v>4</v>
      </c>
      <c r="P83" s="15">
        <f t="shared" si="19"/>
        <v>3</v>
      </c>
      <c r="Q83" s="11">
        <f t="shared" si="20"/>
        <v>3</v>
      </c>
      <c r="R83" s="8" t="str">
        <f t="shared" si="21"/>
        <v>Joey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15">
        <f t="shared" si="18"/>
        <v>4</v>
      </c>
      <c r="P84" s="15">
        <f t="shared" si="19"/>
        <v>4</v>
      </c>
      <c r="Q84" s="11">
        <f t="shared" si="20"/>
        <v>3</v>
      </c>
      <c r="R84" s="8" t="str">
        <f t="shared" si="21"/>
        <v>Jason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15">
        <f t="shared" si="18"/>
        <v>4</v>
      </c>
      <c r="P85" s="15">
        <f t="shared" si="19"/>
        <v>5</v>
      </c>
      <c r="Q85" s="11">
        <f t="shared" si="20"/>
        <v>3</v>
      </c>
      <c r="R85" s="8" t="str">
        <f t="shared" si="21"/>
        <v>Jason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15">
        <f t="shared" si="18"/>
        <v>4</v>
      </c>
      <c r="P86" s="15">
        <f t="shared" si="19"/>
        <v>6</v>
      </c>
      <c r="Q86" s="11">
        <f t="shared" si="20"/>
        <v>2.5</v>
      </c>
      <c r="R86" s="8" t="str">
        <f t="shared" si="21"/>
        <v>Jason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15">
        <f t="shared" si="18"/>
        <v>4</v>
      </c>
      <c r="P87" s="15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15">
        <f t="shared" si="18"/>
        <v>4</v>
      </c>
      <c r="P88" s="15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15">
        <f t="shared" si="18"/>
        <v>4</v>
      </c>
      <c r="P89" s="15">
        <f t="shared" si="19"/>
        <v>9</v>
      </c>
      <c r="Q89" s="11">
        <f t="shared" si="20"/>
        <v>2</v>
      </c>
      <c r="R89" s="8" t="str">
        <f t="shared" si="21"/>
        <v>Jason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15">
        <f t="shared" si="18"/>
        <v>4</v>
      </c>
      <c r="P90" s="15">
        <f t="shared" si="19"/>
        <v>10</v>
      </c>
      <c r="Q90" s="11">
        <f t="shared" si="20"/>
        <v>2</v>
      </c>
      <c r="R90" s="8" t="str">
        <f t="shared" si="21"/>
        <v>Collin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15">
        <f t="shared" si="18"/>
        <v>4</v>
      </c>
      <c r="P91" s="15">
        <f t="shared" si="19"/>
        <v>11</v>
      </c>
      <c r="Q91" s="11">
        <f t="shared" si="20"/>
        <v>2</v>
      </c>
      <c r="R91" s="8" t="str">
        <f t="shared" si="21"/>
        <v>Jason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15">
        <f t="shared" si="18"/>
        <v>4</v>
      </c>
      <c r="P92" s="15">
        <f t="shared" si="19"/>
        <v>12</v>
      </c>
      <c r="Q92" s="11">
        <f t="shared" si="20"/>
        <v>2</v>
      </c>
      <c r="R92" s="8" t="str">
        <f t="shared" si="21"/>
        <v>Jason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15">
        <f t="shared" si="18"/>
        <v>5</v>
      </c>
      <c r="P93" s="15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15">
        <f t="shared" si="18"/>
        <v>5</v>
      </c>
      <c r="P94" s="15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15">
        <f t="shared" si="18"/>
        <v>5</v>
      </c>
      <c r="P95" s="15">
        <f t="shared" si="19"/>
        <v>3</v>
      </c>
      <c r="Q95" s="11">
        <f t="shared" si="20"/>
        <v>2</v>
      </c>
      <c r="R95" s="8" t="str">
        <f t="shared" si="21"/>
        <v>Ty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15">
        <f t="shared" si="18"/>
        <v>5</v>
      </c>
      <c r="P96" s="15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15">
        <f t="shared" si="18"/>
        <v>5</v>
      </c>
      <c r="P97" s="15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15">
        <f t="shared" si="18"/>
        <v>5</v>
      </c>
      <c r="P98" s="15">
        <f t="shared" si="19"/>
        <v>6</v>
      </c>
      <c r="Q98" s="11">
        <f t="shared" si="20"/>
        <v>2</v>
      </c>
      <c r="R98" s="8" t="str">
        <f t="shared" si="21"/>
        <v>Jason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15">
        <f t="shared" si="18"/>
        <v>5</v>
      </c>
      <c r="P99" s="15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15">
        <f t="shared" si="18"/>
        <v>5</v>
      </c>
      <c r="P100" s="15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15">
        <f t="shared" si="18"/>
        <v>5</v>
      </c>
      <c r="P101" s="15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15">
        <f t="shared" si="18"/>
        <v>5</v>
      </c>
      <c r="P102" s="15">
        <f t="shared" si="19"/>
        <v>10</v>
      </c>
      <c r="Q102" s="11">
        <f t="shared" si="20"/>
        <v>2</v>
      </c>
      <c r="R102" s="8" t="str">
        <f t="shared" si="21"/>
        <v>Collin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15">
        <f t="shared" si="18"/>
        <v>5</v>
      </c>
      <c r="P103" s="15">
        <f t="shared" si="19"/>
        <v>11</v>
      </c>
      <c r="Q103" s="11">
        <f t="shared" si="20"/>
        <v>2</v>
      </c>
      <c r="R103" s="8" t="str">
        <f t="shared" si="21"/>
        <v>Ed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15">
        <f t="shared" si="18"/>
        <v>5</v>
      </c>
      <c r="P104" s="15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15">
        <f t="shared" si="18"/>
        <v>6</v>
      </c>
      <c r="P105" s="15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15">
        <f t="shared" si="18"/>
        <v>6</v>
      </c>
      <c r="P106" s="15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15">
        <f t="shared" si="18"/>
        <v>6</v>
      </c>
      <c r="P107" s="15">
        <f t="shared" si="19"/>
        <v>3</v>
      </c>
      <c r="Q107" s="11">
        <f t="shared" si="20"/>
        <v>1</v>
      </c>
      <c r="R107" s="8" t="str">
        <f t="shared" si="21"/>
        <v>Ty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16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15">
        <f t="shared" si="18"/>
        <v>6</v>
      </c>
      <c r="P108" s="15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16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15">
        <f t="shared" si="18"/>
        <v>6</v>
      </c>
      <c r="P109" s="15">
        <f t="shared" si="19"/>
        <v>5</v>
      </c>
      <c r="Q109" s="11">
        <f t="shared" si="20"/>
        <v>1</v>
      </c>
      <c r="R109" s="8" t="str">
        <f t="shared" si="21"/>
        <v>Kich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16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15">
        <f t="shared" si="18"/>
        <v>6</v>
      </c>
      <c r="P110" s="15">
        <f t="shared" si="19"/>
        <v>6</v>
      </c>
      <c r="Q110" s="11">
        <f t="shared" si="20"/>
        <v>1</v>
      </c>
      <c r="R110" s="8" t="str">
        <f t="shared" si="21"/>
        <v>Joey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16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15">
        <f t="shared" si="18"/>
        <v>6</v>
      </c>
      <c r="P111" s="15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16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15">
        <f t="shared" si="18"/>
        <v>6</v>
      </c>
      <c r="P112" s="15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16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15">
        <f t="shared" si="18"/>
        <v>6</v>
      </c>
      <c r="P113" s="15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16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15">
        <f t="shared" si="18"/>
        <v>6</v>
      </c>
      <c r="P114" s="15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16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15">
        <f t="shared" si="18"/>
        <v>6</v>
      </c>
      <c r="P115" s="15">
        <f t="shared" si="19"/>
        <v>11</v>
      </c>
      <c r="Q115" s="11">
        <f t="shared" si="20"/>
        <v>1</v>
      </c>
      <c r="R115" s="8" t="str">
        <f t="shared" si="21"/>
        <v>Ed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16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15">
        <f t="shared" si="18"/>
        <v>6</v>
      </c>
      <c r="P116" s="15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16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16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16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16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16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16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16"/>
      <c r="D123" s="3"/>
      <c r="E123" s="3"/>
      <c r="F123" s="8"/>
      <c r="G123" s="8"/>
      <c r="H123" s="8"/>
      <c r="I123" s="8"/>
      <c r="J123" s="8"/>
      <c r="K123" s="15"/>
      <c r="L123" s="6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16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16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16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16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16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16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16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16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16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16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16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16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16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16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40</v>
      </c>
      <c r="AA137" s="8"/>
      <c r="AB137" s="8"/>
      <c r="AC137" s="8"/>
      <c r="AD137" s="8"/>
    </row>
    <row r="138">
      <c r="A138" s="3"/>
      <c r="B138" s="8"/>
      <c r="C138" s="16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16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41</v>
      </c>
      <c r="X139" s="14" t="s">
        <v>42</v>
      </c>
      <c r="Y139" s="14" t="s">
        <v>43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16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44</v>
      </c>
      <c r="Y140" s="14" t="s">
        <v>45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16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46</v>
      </c>
      <c r="Y141" s="14" t="s">
        <v>47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16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48</v>
      </c>
      <c r="Y142" s="14" t="s">
        <v>49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16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50</v>
      </c>
      <c r="Y143" s="14" t="s">
        <v>47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16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51</v>
      </c>
      <c r="Y144" s="14" t="s">
        <v>47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52</v>
      </c>
      <c r="Y145" s="14" t="s">
        <v>53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54</v>
      </c>
      <c r="Y146" s="14" t="s">
        <v>55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56</v>
      </c>
      <c r="Y147" s="14" t="s">
        <v>47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57</v>
      </c>
      <c r="Y148" s="14" t="s">
        <v>58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59</v>
      </c>
      <c r="Y149" s="14" t="s">
        <v>53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60</v>
      </c>
      <c r="Y150" s="14" t="s">
        <v>61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62</v>
      </c>
      <c r="Y151" s="14" t="s">
        <v>61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63</v>
      </c>
      <c r="Y152" s="14" t="s">
        <v>53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64</v>
      </c>
      <c r="Y153" s="14" t="s">
        <v>47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65</v>
      </c>
      <c r="Y154" s="14" t="s">
        <v>53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66</v>
      </c>
      <c r="Y155" s="14" t="s">
        <v>45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67</v>
      </c>
      <c r="Y156" s="14" t="s">
        <v>58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68</v>
      </c>
      <c r="Y157" s="14" t="s">
        <v>58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69</v>
      </c>
      <c r="Y158" s="14" t="s">
        <v>45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70</v>
      </c>
      <c r="Y159" s="14" t="s">
        <v>47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71</v>
      </c>
      <c r="Y160" s="14" t="s">
        <v>55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72</v>
      </c>
      <c r="Y161" s="14" t="s">
        <v>49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73</v>
      </c>
      <c r="Y162" s="14" t="s">
        <v>47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74</v>
      </c>
      <c r="Y163" s="14" t="s">
        <v>45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75</v>
      </c>
      <c r="Y164" s="14" t="s">
        <v>45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76</v>
      </c>
      <c r="Y165" s="14" t="s">
        <v>49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77</v>
      </c>
      <c r="Y166" s="14" t="s">
        <v>47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78</v>
      </c>
      <c r="Y167" s="14" t="s">
        <v>53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79</v>
      </c>
      <c r="Y168" s="14" t="s">
        <v>47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80</v>
      </c>
      <c r="Y169" s="14" t="s">
        <v>47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81</v>
      </c>
      <c r="Y170" s="14" t="s">
        <v>45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82</v>
      </c>
      <c r="Y171" s="14" t="s">
        <v>47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83</v>
      </c>
      <c r="Y172" s="14" t="s">
        <v>61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84</v>
      </c>
      <c r="Y173" s="14" t="s">
        <v>53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85</v>
      </c>
      <c r="Y174" s="14" t="s">
        <v>55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86</v>
      </c>
      <c r="Y175" s="14" t="s">
        <v>53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87</v>
      </c>
      <c r="Y176" s="14" t="s">
        <v>47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88</v>
      </c>
      <c r="Y177" s="14" t="s">
        <v>55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89</v>
      </c>
      <c r="Y178" s="14" t="s">
        <v>47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90</v>
      </c>
      <c r="Y179" s="14" t="s">
        <v>47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91</v>
      </c>
      <c r="Y180" s="14" t="s">
        <v>45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92</v>
      </c>
      <c r="Y181" s="14" t="s">
        <v>55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93</v>
      </c>
      <c r="Y182" s="14" t="s">
        <v>49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94</v>
      </c>
      <c r="Y183" s="14" t="s">
        <v>45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95</v>
      </c>
      <c r="Y184" s="14" t="s">
        <v>47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96</v>
      </c>
      <c r="Y185" s="14" t="s">
        <v>47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97</v>
      </c>
      <c r="Y186" s="14" t="s">
        <v>47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98</v>
      </c>
      <c r="Y187" s="14" t="s">
        <v>45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99</v>
      </c>
      <c r="Y188" s="14" t="s">
        <v>49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100</v>
      </c>
      <c r="Y189" s="14" t="s">
        <v>45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101</v>
      </c>
      <c r="Y190" s="14" t="s">
        <v>45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102</v>
      </c>
      <c r="Y191" s="14" t="s">
        <v>55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103</v>
      </c>
      <c r="Y192" s="14" t="s">
        <v>47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104</v>
      </c>
      <c r="Y193" s="14" t="s">
        <v>47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105</v>
      </c>
      <c r="Y194" s="14" t="s">
        <v>45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106</v>
      </c>
      <c r="Y195" s="14" t="s">
        <v>47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107</v>
      </c>
      <c r="Y196" s="14" t="s">
        <v>47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108</v>
      </c>
      <c r="Y197" s="14" t="s">
        <v>47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109</v>
      </c>
      <c r="Y198" s="14" t="s">
        <v>55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110</v>
      </c>
      <c r="Y199" s="14" t="s">
        <v>45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111</v>
      </c>
      <c r="Y200" s="14" t="s">
        <v>55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112</v>
      </c>
      <c r="Y201" s="14" t="s">
        <v>45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113</v>
      </c>
      <c r="Y202" s="14" t="s">
        <v>49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114</v>
      </c>
      <c r="Y203" s="14" t="s">
        <v>49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115</v>
      </c>
      <c r="Y204" s="14" t="s">
        <v>55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116</v>
      </c>
      <c r="Y205" s="14" t="s">
        <v>47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117</v>
      </c>
      <c r="Y206" s="14" t="s">
        <v>45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118</v>
      </c>
      <c r="Y207" s="14" t="s">
        <v>55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119</v>
      </c>
      <c r="Y208" s="14" t="s">
        <v>47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120</v>
      </c>
      <c r="Y209" s="14" t="s">
        <v>47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121</v>
      </c>
      <c r="Y210" s="14" t="s">
        <v>47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122</v>
      </c>
      <c r="Y211" s="14" t="s">
        <v>47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123</v>
      </c>
      <c r="Y212" s="14" t="s">
        <v>49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124</v>
      </c>
      <c r="Y213" s="14" t="s">
        <v>47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125</v>
      </c>
      <c r="Y214" s="14" t="s">
        <v>49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126</v>
      </c>
      <c r="Y215" s="14" t="s">
        <v>47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127</v>
      </c>
      <c r="Y216" s="14" t="s">
        <v>45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128</v>
      </c>
      <c r="Y217" s="14" t="s">
        <v>45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7"/>
      <c r="C1001" s="17"/>
      <c r="D1001" s="17"/>
      <c r="E1001" s="17"/>
      <c r="L1001" s="18"/>
      <c r="V1001" s="8"/>
      <c r="W1001" s="8"/>
      <c r="X1001" s="8"/>
      <c r="Y1001" s="8"/>
    </row>
    <row r="1002">
      <c r="A1002" s="17"/>
      <c r="C1002" s="17"/>
      <c r="D1002" s="17"/>
      <c r="E1002" s="17"/>
      <c r="L1002" s="18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9" t="s">
        <v>41</v>
      </c>
      <c r="B1" s="19" t="s">
        <v>129</v>
      </c>
      <c r="C1" s="19" t="s">
        <v>130</v>
      </c>
      <c r="D1" s="19" t="s">
        <v>131</v>
      </c>
      <c r="E1" s="19" t="s">
        <v>132</v>
      </c>
      <c r="F1" s="10" t="s">
        <v>133</v>
      </c>
      <c r="G1" s="10" t="s">
        <v>134</v>
      </c>
      <c r="H1" s="10" t="s">
        <v>135</v>
      </c>
      <c r="I1" s="19" t="s">
        <v>136</v>
      </c>
      <c r="K1" s="19" t="s">
        <v>137</v>
      </c>
    </row>
    <row r="2">
      <c r="A2" s="19">
        <v>1.0</v>
      </c>
      <c r="B2" s="14" t="s">
        <v>44</v>
      </c>
      <c r="C2" s="17">
        <v>139.0</v>
      </c>
      <c r="D2" s="19"/>
      <c r="E2" s="19" t="b">
        <v>0</v>
      </c>
      <c r="F2" s="17">
        <f t="shared" ref="F2:F73" si="1">IF($D2&gt;0,"",$C2*$L$14)
</f>
        <v>139</v>
      </c>
      <c r="G2" s="17">
        <f t="shared" ref="G2:G73" si="2">IF($D2&gt;0,"",MIN($L$8, $C2*$L$14*(1+($L$11-1)*$L$16)))</f>
        <v>185.7000238</v>
      </c>
      <c r="H2" s="20">
        <f t="shared" ref="H2:H73" si="3">IF($D2&lt;&gt;"","",
   IFERROR(
     MIN($L$8, $C2*$L$14*$L$27),
     ""
   )
)
</f>
        <v>111.2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9" t="s">
        <v>138</v>
      </c>
      <c r="L2" s="19">
        <v>1200.0</v>
      </c>
    </row>
    <row r="3">
      <c r="A3" s="19">
        <v>2.0</v>
      </c>
      <c r="B3" s="14" t="s">
        <v>46</v>
      </c>
      <c r="C3" s="17">
        <v>106.5</v>
      </c>
      <c r="D3" s="19"/>
      <c r="E3" s="19" t="b">
        <v>0</v>
      </c>
      <c r="F3" s="17">
        <f t="shared" si="1"/>
        <v>106.5</v>
      </c>
      <c r="G3" s="17">
        <f t="shared" si="2"/>
        <v>142.2809535</v>
      </c>
      <c r="H3" s="20">
        <f t="shared" si="3"/>
        <v>85.2</v>
      </c>
      <c r="I3" s="21" t="str">
        <f t="shared" ref="I3:I73" si="4">IF($D3="","",
   IF(ABS($D3-$C3*$L$14)&lt;=2,"Fair",
      IF($D3&lt;$C3*$L$14,"Value","Overpay")
   )
)
</f>
        <v/>
      </c>
      <c r="K3" s="19" t="s">
        <v>139</v>
      </c>
      <c r="L3" s="19">
        <v>12.0</v>
      </c>
    </row>
    <row r="4">
      <c r="A4" s="19">
        <v>3.0</v>
      </c>
      <c r="B4" s="14" t="s">
        <v>48</v>
      </c>
      <c r="C4" s="17">
        <v>93.0</v>
      </c>
      <c r="D4" s="19"/>
      <c r="E4" s="19" t="b">
        <v>0</v>
      </c>
      <c r="F4" s="17">
        <f t="shared" si="1"/>
        <v>93</v>
      </c>
      <c r="G4" s="17">
        <f t="shared" si="2"/>
        <v>124.2453397</v>
      </c>
      <c r="H4" s="20">
        <f t="shared" si="3"/>
        <v>74.4</v>
      </c>
      <c r="I4" s="21" t="str">
        <f t="shared" si="4"/>
        <v/>
      </c>
      <c r="K4" s="19" t="s">
        <v>140</v>
      </c>
      <c r="L4" s="10">
        <f>'Draft Data'!U63</f>
        <v>361</v>
      </c>
    </row>
    <row r="5">
      <c r="A5" s="19">
        <v>4.0</v>
      </c>
      <c r="B5" s="14" t="s">
        <v>51</v>
      </c>
      <c r="C5" s="17">
        <v>82.5</v>
      </c>
      <c r="E5" s="22" t="b">
        <v>0</v>
      </c>
      <c r="F5" s="17">
        <f t="shared" si="1"/>
        <v>82.5</v>
      </c>
      <c r="G5" s="17">
        <f t="shared" si="2"/>
        <v>110.21764</v>
      </c>
      <c r="H5" s="20">
        <f t="shared" si="3"/>
        <v>66</v>
      </c>
      <c r="I5" s="21" t="str">
        <f t="shared" si="4"/>
        <v/>
      </c>
      <c r="K5" s="19" t="s">
        <v>141</v>
      </c>
      <c r="L5" s="22">
        <f>SUM($D$2:$D$500)
</f>
        <v>0</v>
      </c>
    </row>
    <row r="6">
      <c r="A6" s="19">
        <v>5.0</v>
      </c>
      <c r="B6" s="14" t="s">
        <v>50</v>
      </c>
      <c r="C6" s="17">
        <v>76.0</v>
      </c>
      <c r="E6" s="22" t="b">
        <v>0</v>
      </c>
      <c r="F6" s="17">
        <f t="shared" si="1"/>
        <v>76</v>
      </c>
      <c r="G6" s="17">
        <f t="shared" si="2"/>
        <v>101.533826</v>
      </c>
      <c r="H6" s="20">
        <f t="shared" si="3"/>
        <v>60.8</v>
      </c>
      <c r="I6" s="21" t="str">
        <f t="shared" si="4"/>
        <v/>
      </c>
      <c r="K6" s="19" t="s">
        <v>142</v>
      </c>
      <c r="L6" s="22">
        <f>L2-L5
</f>
        <v>1200</v>
      </c>
    </row>
    <row r="7">
      <c r="A7" s="19">
        <v>6.0</v>
      </c>
      <c r="B7" s="14" t="s">
        <v>54</v>
      </c>
      <c r="C7" s="17">
        <v>66.5</v>
      </c>
      <c r="E7" s="22" t="b">
        <v>0</v>
      </c>
      <c r="F7" s="17">
        <f t="shared" si="1"/>
        <v>66.5</v>
      </c>
      <c r="G7" s="17">
        <f t="shared" si="2"/>
        <v>88.84209774</v>
      </c>
      <c r="H7" s="20">
        <f t="shared" si="3"/>
        <v>53.2</v>
      </c>
      <c r="I7" s="21" t="str">
        <f t="shared" si="4"/>
        <v/>
      </c>
      <c r="K7" s="19" t="s">
        <v>143</v>
      </c>
      <c r="L7" s="22">
        <f>SUMIF($E$2:$E$500,TRUE,$D$2:$D$500)</f>
        <v>0</v>
      </c>
    </row>
    <row r="8">
      <c r="A8" s="19">
        <v>7.0</v>
      </c>
      <c r="B8" s="14" t="s">
        <v>52</v>
      </c>
      <c r="C8" s="17">
        <v>57.5</v>
      </c>
      <c r="E8" s="22" t="b">
        <v>0</v>
      </c>
      <c r="F8" s="17">
        <f t="shared" si="1"/>
        <v>57.5</v>
      </c>
      <c r="G8" s="17">
        <f t="shared" si="2"/>
        <v>76.81835518</v>
      </c>
      <c r="H8" s="20">
        <f t="shared" si="3"/>
        <v>46</v>
      </c>
      <c r="I8" s="21" t="str">
        <f t="shared" si="4"/>
        <v/>
      </c>
      <c r="K8" s="19" t="s">
        <v>144</v>
      </c>
      <c r="L8" s="17">
        <f>L4-L7
</f>
        <v>361</v>
      </c>
    </row>
    <row r="9">
      <c r="A9" s="19">
        <v>8.0</v>
      </c>
      <c r="B9" s="14" t="s">
        <v>64</v>
      </c>
      <c r="C9" s="17">
        <v>53.0</v>
      </c>
      <c r="E9" s="22" t="b">
        <v>0</v>
      </c>
      <c r="F9" s="17">
        <f t="shared" si="1"/>
        <v>53</v>
      </c>
      <c r="G9" s="17">
        <f t="shared" si="2"/>
        <v>70.80648391</v>
      </c>
      <c r="H9" s="20">
        <f t="shared" si="3"/>
        <v>42.4</v>
      </c>
      <c r="I9" s="21" t="str">
        <f t="shared" si="4"/>
        <v/>
      </c>
      <c r="K9" s="19" t="s">
        <v>145</v>
      </c>
      <c r="L9" s="17">
        <f>L6-L8
</f>
        <v>839</v>
      </c>
    </row>
    <row r="10">
      <c r="A10" s="19">
        <v>9.0</v>
      </c>
      <c r="B10" s="14" t="s">
        <v>69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64.12662694</v>
      </c>
      <c r="H10" s="20">
        <f t="shared" si="3"/>
        <v>38.4</v>
      </c>
      <c r="I10" s="21" t="str">
        <f t="shared" si="4"/>
        <v/>
      </c>
      <c r="K10" s="19" t="s">
        <v>146</v>
      </c>
      <c r="L10" s="17">
        <f>IF(L3&gt;1,L9/(L3-1),0)</f>
        <v>76.27272727</v>
      </c>
    </row>
    <row r="11">
      <c r="A11" s="19">
        <v>10.0</v>
      </c>
      <c r="B11" s="14" t="s">
        <v>71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57.44676996</v>
      </c>
      <c r="H11" s="20">
        <f t="shared" si="3"/>
        <v>34.4</v>
      </c>
      <c r="I11" s="21" t="str">
        <f t="shared" si="4"/>
        <v/>
      </c>
      <c r="K11" s="19" t="s">
        <v>147</v>
      </c>
      <c r="L11" s="23">
        <f>IF(L10&gt;0,L8/L10,1)</f>
        <v>4.733015495</v>
      </c>
    </row>
    <row r="12">
      <c r="A12" s="19">
        <v>11.0</v>
      </c>
      <c r="B12" s="14" t="s">
        <v>148</v>
      </c>
      <c r="C12" s="17">
        <v>39.0</v>
      </c>
      <c r="E12" s="22" t="b">
        <v>0</v>
      </c>
      <c r="F12" s="17">
        <f t="shared" si="1"/>
        <v>39</v>
      </c>
      <c r="G12" s="17">
        <f t="shared" si="2"/>
        <v>52.10288439</v>
      </c>
      <c r="H12" s="20">
        <f t="shared" si="3"/>
        <v>31.2</v>
      </c>
      <c r="I12" s="21" t="str">
        <f t="shared" si="4"/>
        <v/>
      </c>
    </row>
    <row r="13">
      <c r="A13" s="19">
        <v>12.0</v>
      </c>
      <c r="B13" s="14" t="s">
        <v>149</v>
      </c>
      <c r="C13" s="17">
        <v>34.0</v>
      </c>
      <c r="E13" s="22" t="b">
        <v>0</v>
      </c>
      <c r="F13" s="17">
        <f t="shared" si="1"/>
        <v>34</v>
      </c>
      <c r="G13" s="17">
        <f t="shared" si="2"/>
        <v>45.42302741</v>
      </c>
      <c r="H13" s="20">
        <f t="shared" si="3"/>
        <v>27.2</v>
      </c>
      <c r="I13" s="21" t="str">
        <f t="shared" si="4"/>
        <v/>
      </c>
      <c r="K13" s="19" t="s">
        <v>150</v>
      </c>
      <c r="L13" s="22">
        <f>SUMIF($D$2:$D$73,"",$C$2:$C$73)</f>
        <v>1200</v>
      </c>
    </row>
    <row r="14">
      <c r="A14" s="19">
        <v>13.0</v>
      </c>
      <c r="B14" s="14" t="s">
        <v>59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40.74712753</v>
      </c>
      <c r="H14" s="20">
        <f t="shared" si="3"/>
        <v>24.4</v>
      </c>
      <c r="I14" s="21" t="str">
        <f t="shared" si="4"/>
        <v/>
      </c>
      <c r="K14" s="19" t="s">
        <v>151</v>
      </c>
      <c r="L14" s="23">
        <f>IF(L13&gt;0,L6/L13,1)</f>
        <v>1</v>
      </c>
    </row>
    <row r="15">
      <c r="A15" s="19">
        <v>14.0</v>
      </c>
      <c r="B15" s="14" t="s">
        <v>72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36.73921335</v>
      </c>
      <c r="H15" s="20">
        <f t="shared" si="3"/>
        <v>22</v>
      </c>
      <c r="I15" s="21" t="str">
        <f t="shared" si="4"/>
        <v/>
      </c>
    </row>
    <row r="16">
      <c r="A16" s="19">
        <v>15.0</v>
      </c>
      <c r="B16" s="14" t="s">
        <v>56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34.06727056</v>
      </c>
      <c r="H16" s="20">
        <f t="shared" si="3"/>
        <v>20.4</v>
      </c>
      <c r="I16" s="21" t="str">
        <f t="shared" si="4"/>
        <v/>
      </c>
      <c r="K16" s="19" t="s">
        <v>152</v>
      </c>
      <c r="L16" s="1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9">
        <v>16.0</v>
      </c>
      <c r="B17" s="14" t="s">
        <v>57</v>
      </c>
      <c r="C17" s="17">
        <v>22.5</v>
      </c>
      <c r="E17" s="22" t="b">
        <v>0</v>
      </c>
      <c r="F17" s="17">
        <f t="shared" si="1"/>
        <v>22.5</v>
      </c>
      <c r="G17" s="17">
        <f t="shared" si="2"/>
        <v>30.05935638</v>
      </c>
      <c r="H17" s="20">
        <f t="shared" si="3"/>
        <v>18</v>
      </c>
      <c r="I17" s="21" t="str">
        <f t="shared" si="4"/>
        <v/>
      </c>
    </row>
    <row r="18">
      <c r="A18" s="19">
        <v>17.0</v>
      </c>
      <c r="B18" s="14" t="s">
        <v>60</v>
      </c>
      <c r="C18" s="17">
        <v>20.0</v>
      </c>
      <c r="E18" s="22" t="b">
        <v>0</v>
      </c>
      <c r="F18" s="17">
        <f t="shared" si="1"/>
        <v>20</v>
      </c>
      <c r="G18" s="17">
        <f t="shared" si="2"/>
        <v>26.71942789</v>
      </c>
      <c r="H18" s="20">
        <f t="shared" si="3"/>
        <v>16</v>
      </c>
      <c r="I18" s="21" t="str">
        <f t="shared" si="4"/>
        <v/>
      </c>
      <c r="K18" s="19" t="s">
        <v>153</v>
      </c>
      <c r="L18" s="24">
        <f>L5/L2</f>
        <v>0</v>
      </c>
    </row>
    <row r="19">
      <c r="A19" s="19">
        <v>18.0</v>
      </c>
      <c r="B19" s="14" t="s">
        <v>65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24.7154708</v>
      </c>
      <c r="H19" s="20">
        <f t="shared" si="3"/>
        <v>14.8</v>
      </c>
      <c r="I19" s="21" t="str">
        <f t="shared" si="4"/>
        <v/>
      </c>
    </row>
    <row r="20">
      <c r="A20" s="19">
        <v>19.0</v>
      </c>
      <c r="B20" s="14" t="s">
        <v>66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22.04352801</v>
      </c>
      <c r="H20" s="20">
        <f t="shared" si="3"/>
        <v>13.2</v>
      </c>
      <c r="I20" s="21" t="str">
        <f t="shared" si="4"/>
        <v/>
      </c>
    </row>
    <row r="21">
      <c r="A21" s="19">
        <v>20.0</v>
      </c>
      <c r="B21" s="14" t="s">
        <v>78</v>
      </c>
      <c r="C21" s="17">
        <v>14.5</v>
      </c>
      <c r="E21" s="22" t="b">
        <v>0</v>
      </c>
      <c r="F21" s="17">
        <f t="shared" si="1"/>
        <v>14.5</v>
      </c>
      <c r="G21" s="17">
        <f t="shared" si="2"/>
        <v>19.37158522</v>
      </c>
      <c r="H21" s="20">
        <f t="shared" si="3"/>
        <v>11.6</v>
      </c>
      <c r="I21" s="21" t="str">
        <f t="shared" si="4"/>
        <v/>
      </c>
    </row>
    <row r="22">
      <c r="A22" s="19">
        <v>21.0</v>
      </c>
      <c r="B22" s="14" t="s">
        <v>67</v>
      </c>
      <c r="C22" s="17">
        <v>13.5</v>
      </c>
      <c r="E22" s="22" t="b">
        <v>0</v>
      </c>
      <c r="F22" s="17">
        <f t="shared" si="1"/>
        <v>13.5</v>
      </c>
      <c r="G22" s="17">
        <f t="shared" si="2"/>
        <v>18.03561383</v>
      </c>
      <c r="H22" s="20">
        <f t="shared" si="3"/>
        <v>10.8</v>
      </c>
      <c r="I22" s="21" t="str">
        <f t="shared" si="4"/>
        <v/>
      </c>
    </row>
    <row r="23">
      <c r="A23" s="19">
        <v>22.0</v>
      </c>
      <c r="B23" s="14" t="s">
        <v>154</v>
      </c>
      <c r="C23" s="17">
        <v>12.0</v>
      </c>
      <c r="E23" s="22" t="b">
        <v>0</v>
      </c>
      <c r="F23" s="17">
        <f t="shared" si="1"/>
        <v>12</v>
      </c>
      <c r="G23" s="17">
        <f t="shared" si="2"/>
        <v>16.03165673</v>
      </c>
      <c r="H23" s="20">
        <f t="shared" si="3"/>
        <v>9.6</v>
      </c>
      <c r="I23" s="21" t="str">
        <f t="shared" si="4"/>
        <v/>
      </c>
    </row>
    <row r="24">
      <c r="A24" s="19">
        <v>23.0</v>
      </c>
      <c r="B24" s="14" t="s">
        <v>79</v>
      </c>
      <c r="C24" s="17">
        <v>11.0</v>
      </c>
      <c r="E24" s="22" t="b">
        <v>0</v>
      </c>
      <c r="F24" s="17">
        <f t="shared" si="1"/>
        <v>11</v>
      </c>
      <c r="G24" s="17">
        <f t="shared" si="2"/>
        <v>14.69568534</v>
      </c>
      <c r="H24" s="20">
        <f t="shared" si="3"/>
        <v>8.8</v>
      </c>
      <c r="I24" s="21" t="str">
        <f t="shared" si="4"/>
        <v/>
      </c>
    </row>
    <row r="25">
      <c r="A25" s="19">
        <v>24.0</v>
      </c>
      <c r="B25" s="14" t="s">
        <v>87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13.35971395</v>
      </c>
      <c r="H25" s="20">
        <f t="shared" si="3"/>
        <v>8</v>
      </c>
      <c r="I25" s="21" t="str">
        <f t="shared" si="4"/>
        <v/>
      </c>
    </row>
    <row r="26">
      <c r="A26" s="19">
        <v>25.0</v>
      </c>
      <c r="B26" s="14" t="s">
        <v>75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12.69172825</v>
      </c>
      <c r="H26" s="20">
        <f t="shared" si="3"/>
        <v>7.6</v>
      </c>
      <c r="I26" s="21" t="str">
        <f t="shared" si="4"/>
        <v/>
      </c>
    </row>
    <row r="27">
      <c r="A27" s="19">
        <v>26.0</v>
      </c>
      <c r="B27" s="14" t="s">
        <v>155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11.35575685</v>
      </c>
      <c r="H27" s="20">
        <f t="shared" si="3"/>
        <v>6.8</v>
      </c>
      <c r="I27" s="21" t="str">
        <f t="shared" si="4"/>
        <v/>
      </c>
      <c r="K27" s="19" t="s">
        <v>156</v>
      </c>
      <c r="L27" s="19">
        <v>0.8</v>
      </c>
    </row>
    <row r="28">
      <c r="A28" s="19">
        <v>27.0</v>
      </c>
      <c r="B28" s="14" t="s">
        <v>90</v>
      </c>
      <c r="C28" s="17">
        <v>8.0</v>
      </c>
      <c r="E28" s="22" t="b">
        <v>0</v>
      </c>
      <c r="F28" s="17">
        <f t="shared" si="1"/>
        <v>8</v>
      </c>
      <c r="G28" s="17">
        <f t="shared" si="2"/>
        <v>10.68777116</v>
      </c>
      <c r="H28" s="20">
        <f t="shared" si="3"/>
        <v>6.4</v>
      </c>
      <c r="I28" s="21" t="str">
        <f t="shared" si="4"/>
        <v/>
      </c>
    </row>
    <row r="29">
      <c r="A29" s="19">
        <v>28.0</v>
      </c>
      <c r="B29" s="14" t="s">
        <v>73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9.351799762</v>
      </c>
      <c r="H29" s="20">
        <f t="shared" si="3"/>
        <v>5.6</v>
      </c>
      <c r="I29" s="21" t="str">
        <f t="shared" si="4"/>
        <v/>
      </c>
    </row>
    <row r="30">
      <c r="A30" s="19">
        <v>29.0</v>
      </c>
      <c r="B30" s="14" t="s">
        <v>74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8.683814064</v>
      </c>
      <c r="H30" s="20">
        <f t="shared" si="3"/>
        <v>5.2</v>
      </c>
      <c r="I30" s="21" t="str">
        <f t="shared" si="4"/>
        <v/>
      </c>
    </row>
    <row r="31">
      <c r="A31" s="19">
        <v>30.0</v>
      </c>
      <c r="B31" s="14" t="s">
        <v>157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8.015828367</v>
      </c>
      <c r="H31" s="20">
        <f t="shared" si="3"/>
        <v>4.8</v>
      </c>
      <c r="I31" s="21" t="str">
        <f t="shared" si="4"/>
        <v/>
      </c>
    </row>
    <row r="32">
      <c r="A32" s="19">
        <v>31.0</v>
      </c>
      <c r="B32" s="14" t="s">
        <v>88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7.34784267</v>
      </c>
      <c r="H32" s="20">
        <f t="shared" si="3"/>
        <v>4.4</v>
      </c>
      <c r="I32" s="21" t="str">
        <f t="shared" si="4"/>
        <v/>
      </c>
    </row>
    <row r="33">
      <c r="A33" s="19">
        <v>32.0</v>
      </c>
      <c r="B33" s="14" t="s">
        <v>80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6.679856973</v>
      </c>
      <c r="H33" s="20">
        <f t="shared" si="3"/>
        <v>4</v>
      </c>
      <c r="I33" s="21" t="str">
        <f t="shared" si="4"/>
        <v/>
      </c>
    </row>
    <row r="34">
      <c r="A34" s="19">
        <v>33.0</v>
      </c>
      <c r="B34" s="14" t="s">
        <v>158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6.011871275</v>
      </c>
      <c r="H34" s="20">
        <f t="shared" si="3"/>
        <v>3.6</v>
      </c>
      <c r="I34" s="21" t="str">
        <f t="shared" si="4"/>
        <v/>
      </c>
    </row>
    <row r="35">
      <c r="A35" s="19">
        <v>34.0</v>
      </c>
      <c r="B35" s="14" t="s">
        <v>82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6.011871275</v>
      </c>
      <c r="H35" s="20">
        <f t="shared" si="3"/>
        <v>3.6</v>
      </c>
      <c r="I35" s="21" t="str">
        <f t="shared" si="4"/>
        <v/>
      </c>
    </row>
    <row r="36">
      <c r="A36" s="19">
        <v>35.0</v>
      </c>
      <c r="B36" s="14" t="s">
        <v>91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5.343885578</v>
      </c>
      <c r="H36" s="20">
        <f t="shared" si="3"/>
        <v>3.2</v>
      </c>
      <c r="I36" s="21" t="str">
        <f t="shared" si="4"/>
        <v/>
      </c>
    </row>
    <row r="37">
      <c r="A37" s="19">
        <v>36.0</v>
      </c>
      <c r="B37" s="14" t="s">
        <v>104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5.343885578</v>
      </c>
      <c r="H37" s="20">
        <f t="shared" si="3"/>
        <v>3.2</v>
      </c>
      <c r="I37" s="21" t="str">
        <f t="shared" si="4"/>
        <v/>
      </c>
    </row>
    <row r="38">
      <c r="A38" s="19">
        <v>37.0</v>
      </c>
      <c r="B38" s="14" t="s">
        <v>89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4.675899881</v>
      </c>
      <c r="H38" s="20">
        <f t="shared" si="3"/>
        <v>2.8</v>
      </c>
      <c r="I38" s="21" t="str">
        <f t="shared" si="4"/>
        <v/>
      </c>
    </row>
    <row r="39">
      <c r="A39" s="19">
        <v>38.0</v>
      </c>
      <c r="B39" s="14" t="s">
        <v>159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4.675899881</v>
      </c>
      <c r="H39" s="20">
        <f t="shared" si="3"/>
        <v>2.8</v>
      </c>
      <c r="I39" s="21" t="str">
        <f t="shared" si="4"/>
        <v/>
      </c>
    </row>
    <row r="40">
      <c r="A40" s="19">
        <v>39.0</v>
      </c>
      <c r="B40" s="14" t="s">
        <v>96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4.007914184</v>
      </c>
      <c r="H40" s="20">
        <f t="shared" si="3"/>
        <v>2.4</v>
      </c>
      <c r="I40" s="21" t="str">
        <f t="shared" si="4"/>
        <v/>
      </c>
    </row>
    <row r="41">
      <c r="A41" s="19">
        <v>40.0</v>
      </c>
      <c r="B41" s="14" t="s">
        <v>160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4.007914184</v>
      </c>
      <c r="H41" s="20">
        <f t="shared" si="3"/>
        <v>2.4</v>
      </c>
      <c r="I41" s="21" t="str">
        <f t="shared" si="4"/>
        <v/>
      </c>
    </row>
    <row r="42">
      <c r="A42" s="19">
        <v>41.0</v>
      </c>
      <c r="B42" s="14" t="s">
        <v>84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3.339928486</v>
      </c>
      <c r="H42" s="20">
        <f t="shared" si="3"/>
        <v>2</v>
      </c>
      <c r="I42" s="21" t="str">
        <f t="shared" si="4"/>
        <v/>
      </c>
    </row>
    <row r="43">
      <c r="A43" s="19">
        <v>42.0</v>
      </c>
      <c r="B43" s="14" t="s">
        <v>161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3.339928486</v>
      </c>
      <c r="H43" s="20">
        <f t="shared" si="3"/>
        <v>2</v>
      </c>
      <c r="I43" s="21" t="str">
        <f t="shared" si="4"/>
        <v/>
      </c>
    </row>
    <row r="44">
      <c r="A44" s="19">
        <v>43.0</v>
      </c>
      <c r="B44" s="14" t="s">
        <v>68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3.339928486</v>
      </c>
      <c r="H44" s="20">
        <f t="shared" si="3"/>
        <v>2</v>
      </c>
      <c r="I44" s="21" t="str">
        <f t="shared" si="4"/>
        <v/>
      </c>
    </row>
    <row r="45">
      <c r="A45" s="19">
        <v>44.0</v>
      </c>
      <c r="B45" s="14" t="s">
        <v>162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3.339928486</v>
      </c>
      <c r="H45" s="20">
        <f t="shared" si="3"/>
        <v>2</v>
      </c>
      <c r="I45" s="21" t="str">
        <f t="shared" si="4"/>
        <v/>
      </c>
    </row>
    <row r="46">
      <c r="A46" s="19">
        <v>45.0</v>
      </c>
      <c r="B46" s="14" t="s">
        <v>115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2.671942789</v>
      </c>
      <c r="H46" s="20">
        <f t="shared" si="3"/>
        <v>1.6</v>
      </c>
      <c r="I46" s="21" t="str">
        <f t="shared" si="4"/>
        <v/>
      </c>
    </row>
    <row r="47">
      <c r="A47" s="19">
        <v>46.0</v>
      </c>
      <c r="B47" s="14" t="s">
        <v>102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2.671942789</v>
      </c>
      <c r="H47" s="20">
        <f t="shared" si="3"/>
        <v>1.6</v>
      </c>
      <c r="I47" s="21" t="str">
        <f t="shared" si="4"/>
        <v/>
      </c>
    </row>
    <row r="48">
      <c r="A48" s="19">
        <v>47.0</v>
      </c>
      <c r="B48" s="14" t="s">
        <v>94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2.671942789</v>
      </c>
      <c r="H48" s="20">
        <f t="shared" si="3"/>
        <v>1.6</v>
      </c>
      <c r="I48" s="21" t="str">
        <f t="shared" si="4"/>
        <v/>
      </c>
    </row>
    <row r="49">
      <c r="A49" s="19">
        <v>48.0</v>
      </c>
      <c r="B49" s="14" t="s">
        <v>163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2.671942789</v>
      </c>
      <c r="H49" s="20">
        <f t="shared" si="3"/>
        <v>1.6</v>
      </c>
      <c r="I49" s="21" t="str">
        <f t="shared" si="4"/>
        <v/>
      </c>
    </row>
    <row r="50">
      <c r="A50" s="19">
        <v>49.0</v>
      </c>
      <c r="B50" s="14" t="s">
        <v>164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2.671942789</v>
      </c>
      <c r="H50" s="20">
        <f t="shared" si="3"/>
        <v>1.6</v>
      </c>
      <c r="I50" s="21" t="str">
        <f t="shared" si="4"/>
        <v/>
      </c>
    </row>
    <row r="51">
      <c r="A51" s="19">
        <v>50.0</v>
      </c>
      <c r="B51" s="14" t="s">
        <v>83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2.671942789</v>
      </c>
      <c r="H51" s="20">
        <f t="shared" si="3"/>
        <v>1.6</v>
      </c>
      <c r="I51" s="21" t="str">
        <f t="shared" si="4"/>
        <v/>
      </c>
    </row>
    <row r="52">
      <c r="A52" s="19">
        <v>51.0</v>
      </c>
      <c r="B52" s="14" t="s">
        <v>165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2.671942789</v>
      </c>
      <c r="H52" s="20">
        <f t="shared" si="3"/>
        <v>1.6</v>
      </c>
      <c r="I52" s="21" t="str">
        <f t="shared" si="4"/>
        <v/>
      </c>
    </row>
    <row r="53">
      <c r="A53" s="19">
        <v>52.0</v>
      </c>
      <c r="B53" s="14" t="s">
        <v>166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2.671942789</v>
      </c>
      <c r="H53" s="20">
        <f t="shared" si="3"/>
        <v>1.6</v>
      </c>
      <c r="I53" s="21" t="str">
        <f t="shared" si="4"/>
        <v/>
      </c>
    </row>
    <row r="54">
      <c r="A54" s="19">
        <v>53.0</v>
      </c>
      <c r="B54" s="14" t="s">
        <v>167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2.671942789</v>
      </c>
      <c r="H54" s="20">
        <f t="shared" si="3"/>
        <v>1.6</v>
      </c>
      <c r="I54" s="21" t="str">
        <f t="shared" si="4"/>
        <v/>
      </c>
    </row>
    <row r="55">
      <c r="A55" s="19">
        <v>54.0</v>
      </c>
      <c r="B55" s="14" t="s">
        <v>111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2.671942789</v>
      </c>
      <c r="H55" s="20">
        <f t="shared" si="3"/>
        <v>1.6</v>
      </c>
      <c r="I55" s="21" t="str">
        <f t="shared" si="4"/>
        <v/>
      </c>
    </row>
    <row r="56">
      <c r="A56" s="19">
        <v>55.0</v>
      </c>
      <c r="B56" s="14" t="s">
        <v>109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2.671942789</v>
      </c>
      <c r="H56" s="20">
        <f t="shared" si="3"/>
        <v>1.6</v>
      </c>
      <c r="I56" s="21" t="str">
        <f t="shared" si="4"/>
        <v/>
      </c>
    </row>
    <row r="57">
      <c r="A57" s="19">
        <v>56.0</v>
      </c>
      <c r="B57" s="14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2.671942789</v>
      </c>
      <c r="H57" s="20">
        <f t="shared" si="3"/>
        <v>1.6</v>
      </c>
      <c r="I57" s="21" t="str">
        <f t="shared" si="4"/>
        <v/>
      </c>
    </row>
    <row r="58">
      <c r="A58" s="19">
        <v>57.0</v>
      </c>
      <c r="B58" s="14" t="s">
        <v>169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2.671942789</v>
      </c>
      <c r="H58" s="20">
        <f t="shared" si="3"/>
        <v>1.6</v>
      </c>
      <c r="I58" s="21" t="str">
        <f t="shared" si="4"/>
        <v/>
      </c>
    </row>
    <row r="59">
      <c r="A59" s="19">
        <v>58.0</v>
      </c>
      <c r="B59" s="14" t="s">
        <v>123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2.671942789</v>
      </c>
      <c r="H59" s="20">
        <f t="shared" si="3"/>
        <v>1.6</v>
      </c>
      <c r="I59" s="21" t="str">
        <f t="shared" si="4"/>
        <v/>
      </c>
    </row>
    <row r="60">
      <c r="A60" s="19">
        <v>59.0</v>
      </c>
      <c r="B60" s="14" t="s">
        <v>114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2.671942789</v>
      </c>
      <c r="H60" s="20">
        <f t="shared" si="3"/>
        <v>1.6</v>
      </c>
      <c r="I60" s="21" t="str">
        <f t="shared" si="4"/>
        <v/>
      </c>
    </row>
    <row r="61">
      <c r="A61" s="19">
        <v>60.0</v>
      </c>
      <c r="B61" s="14" t="s">
        <v>99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2.671942789</v>
      </c>
      <c r="H61" s="20">
        <f t="shared" si="3"/>
        <v>1.6</v>
      </c>
      <c r="I61" s="21" t="str">
        <f t="shared" si="4"/>
        <v/>
      </c>
    </row>
    <row r="62">
      <c r="A62" s="19">
        <v>61.0</v>
      </c>
      <c r="B62" s="14" t="s">
        <v>85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1.335971395</v>
      </c>
      <c r="H62" s="20">
        <f t="shared" si="3"/>
        <v>0.8</v>
      </c>
      <c r="I62" s="21" t="str">
        <f t="shared" si="4"/>
        <v/>
      </c>
    </row>
    <row r="63">
      <c r="A63" s="19">
        <v>62.0</v>
      </c>
      <c r="B63" s="14" t="s">
        <v>170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1.335971395</v>
      </c>
      <c r="H63" s="20">
        <f t="shared" si="3"/>
        <v>0.8</v>
      </c>
      <c r="I63" s="21" t="str">
        <f t="shared" si="4"/>
        <v/>
      </c>
    </row>
    <row r="64">
      <c r="A64" s="19">
        <v>63.0</v>
      </c>
      <c r="B64" s="14" t="s">
        <v>171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1.335971395</v>
      </c>
      <c r="H64" s="20">
        <f t="shared" si="3"/>
        <v>0.8</v>
      </c>
      <c r="I64" s="21" t="str">
        <f t="shared" si="4"/>
        <v/>
      </c>
    </row>
    <row r="65">
      <c r="A65" s="19">
        <v>64.0</v>
      </c>
      <c r="B65" s="14" t="s">
        <v>92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1.335971395</v>
      </c>
      <c r="H65" s="20">
        <f t="shared" si="3"/>
        <v>0.8</v>
      </c>
      <c r="I65" s="21" t="str">
        <f t="shared" si="4"/>
        <v/>
      </c>
    </row>
    <row r="66">
      <c r="A66" s="19">
        <v>65.0</v>
      </c>
      <c r="B66" s="14" t="s">
        <v>172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1.335971395</v>
      </c>
      <c r="H66" s="20">
        <f t="shared" si="3"/>
        <v>0.8</v>
      </c>
      <c r="I66" s="21" t="str">
        <f t="shared" si="4"/>
        <v/>
      </c>
    </row>
    <row r="67">
      <c r="A67" s="19">
        <v>66.0</v>
      </c>
      <c r="B67" s="14" t="s">
        <v>173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1.335971395</v>
      </c>
      <c r="H67" s="20">
        <f t="shared" si="3"/>
        <v>0.8</v>
      </c>
      <c r="I67" s="21" t="str">
        <f t="shared" si="4"/>
        <v/>
      </c>
    </row>
    <row r="68">
      <c r="A68" s="19">
        <v>67.0</v>
      </c>
      <c r="B68" s="14" t="s">
        <v>95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1.335971395</v>
      </c>
      <c r="H68" s="20">
        <f t="shared" si="3"/>
        <v>0.8</v>
      </c>
      <c r="I68" s="21" t="str">
        <f t="shared" si="4"/>
        <v/>
      </c>
    </row>
    <row r="69">
      <c r="A69" s="19">
        <v>68.0</v>
      </c>
      <c r="B69" s="14" t="s">
        <v>174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1.335971395</v>
      </c>
      <c r="H69" s="20">
        <f t="shared" si="3"/>
        <v>0.8</v>
      </c>
      <c r="I69" s="21" t="str">
        <f t="shared" si="4"/>
        <v/>
      </c>
    </row>
    <row r="70">
      <c r="A70" s="19">
        <v>69.0</v>
      </c>
      <c r="B70" s="14" t="s">
        <v>93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1.335971395</v>
      </c>
      <c r="H70" s="20">
        <f t="shared" si="3"/>
        <v>0.8</v>
      </c>
      <c r="I70" s="21" t="str">
        <f t="shared" si="4"/>
        <v/>
      </c>
    </row>
    <row r="71">
      <c r="A71" s="19">
        <v>70.0</v>
      </c>
      <c r="B71" s="14" t="s">
        <v>175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1.335971395</v>
      </c>
      <c r="H71" s="20">
        <f t="shared" si="3"/>
        <v>0.8</v>
      </c>
      <c r="I71" s="21" t="str">
        <f t="shared" si="4"/>
        <v/>
      </c>
    </row>
    <row r="72">
      <c r="A72" s="19">
        <v>71.0</v>
      </c>
      <c r="B72" s="14" t="s">
        <v>176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1.335971395</v>
      </c>
      <c r="H72" s="20">
        <f t="shared" si="3"/>
        <v>0.8</v>
      </c>
      <c r="I72" s="21" t="str">
        <f t="shared" si="4"/>
        <v/>
      </c>
    </row>
    <row r="73">
      <c r="A73" s="19">
        <v>72.0</v>
      </c>
      <c r="B73" s="19" t="s">
        <v>177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1.335971395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