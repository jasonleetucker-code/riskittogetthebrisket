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<sst xmlns="http://schemas.openxmlformats.org/spreadsheetml/2006/main" count="312" uniqueCount="178">
  <si>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</si>
  <si>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</si>
  <si>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</si>
  <si>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</si>
  <si>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</si>
  <si>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</si>
  <si>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</si>
  <si>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</si>
  <si>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</si>
  <si>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</si>
  <si>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</si>
  <si>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</si>
  <si>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</si>
  <si>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</si>
  <si>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</si>
  <si>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</si>
  <si>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</si>
  <si>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</si>
  <si>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</si>
  <si>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</si>
  <si>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</si>
  <si>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</si>
  <si>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</si>
  <si>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</si>
  <si>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</si>
  <si>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</si>
  <si>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</si>
  <si>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</si>
  <si>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</si>
  <si>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</si>
  <si>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</si>
  <si>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</si>
  <si>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</si>
  <si>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</si>
  <si>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</si>
  <si>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</si>
  <si>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</si>
  <si>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</si>
  <si>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</si>
  <si>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</si>
  <si>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</si>
  <si>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</si>
  <si>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</si>
  <si>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</si>
  <si>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</si>
  <si>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</si>
  <si>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</si>
  <si>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</si>
  <si>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</si>
  <si>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</si>
  <si>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</si>
  <si>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</si>
  <si>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</si>
  <si>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</si>
  <si>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</si>
  <si>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</si>
  <si>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</si>
  <si>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</si>
  <si>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</si>
  <si>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</si>
  <si>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</si>
  <si>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</si>
  <si>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</si>
  <si>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</si>
  <si>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</si>
  <si>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</si>
  <si>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</si>
  <si>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</si>
  <si>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</si>
  <si>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</si>
  <si>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</si>
  <si>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</si>
  <si>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</si>
  <si>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</si>
  <si>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</si>
  <si>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</si>
  <si>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</si>
  <si>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</si>
  <si>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</si>
  <si>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</si>
  <si>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</si>
  <si>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</si>
  <si>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</si>
  <si>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</si>
  <si>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</si>
  <si>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</si>
  <si>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</si>
  <si>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</si>
  <si>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</si>
  <si>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</si>
  <si>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</si>
  <si>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</si>
  <si>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</si>
  <si>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</si>
  <si>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</si>
  <si>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</si>
  <si>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</si>
  <si>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</si>
  <si>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</si>
  <si>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</si>
  <si>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</si>
  <si>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</si>
  <si>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</si>
  <si>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</si>
  <si>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</si>
  <si>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</si>
  <si>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</si>
  <si>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</si>
  <si>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</si>
  <si>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</si>
  <si>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Joe Royer</t>
  </si>
  <si>
    <t>Ed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</si>
  <si>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</si>
  <si>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</si>
  <si>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</si>
  <si>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</si>
  <si>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</si>
  <si>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</si>
  <si>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</si>
  <si>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</si>
  <si>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</si>
  <si>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</si>
  <si>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Joey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</si>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</sst>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101</v>
      </c>
      <c r="P29" s="10" t="s">
        <v>102</v>
      </c>
      <c r="Q29" s="12"/>
      <c r="R29" s="10" t="s">
        <v>103</v>
      </c>
      <c r="S29" s="10" t="s">
        <v>104</v>
      </c>
      <c r="T29" s="10" t="s">
        <v>105</v>
      </c>
      <c r="U29" s="12"/>
      <c r="V29" s="10" t="s">
        <v>106</v>
      </c>
      <c r="W29" s="10" t="s">
        <v>107</v>
      </c>
      <c r="X29" s="10" t="s">
        <v>108</v>
      </c>
      <c r="Y29" s="10" t="s">
        <v>109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8">
        <v>1.0</v>
      </c>
      <c r="P30" s="10" t="s">
        <v>111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8">
        <v>2.0</v>
      </c>
      <c r="P31" s="10" t="s">
        <v>120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8">
        <v>3.0</v>
      </c>
      <c r="P32" s="10" t="s">
        <v>122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106</v>
      </c>
      <c r="P44" s="10" t="s">
        <v>20</v>
      </c>
      <c r="Q44" s="10" t="s">
        <v>134</v>
      </c>
      <c r="R44" s="10" t="s">
        <v>102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122</v>
      </c>
      <c r="U72" s="15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120</v>
      </c>
      <c r="U73" s="15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5">
        <f>Sum(D2:D73)</f>
        <v>1200</v>
      </c>
      <c r="E74" s="6"/>
      <c r="F74" s="15">
        <v>1200.0</v>
      </c>
      <c r="G74" s="15">
        <v>1200.0</v>
      </c>
      <c r="H74" s="15">
        <v>1200.0</v>
      </c>
      <c r="I74" s="6"/>
      <c r="J74" s="6"/>
      <c r="K74" s="6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111</v>
      </c>
      <c r="U74" s="15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29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27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31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50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54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47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55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36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57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58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60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38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40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49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64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59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62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110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63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114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119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117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26</v>
      </c>
      <c r="L4" s="3">
        <f>'Draft Data'!U63</f>
        <v>180</v>
      </c>
    </row>
    <row r="5">
      <c r="A5" s="1">
        <v>4.0</v>
      </c>
      <c r="B5" s="5" t="s">
        <v>27</v>
      </c>
      <c r="C5" s="7">
        <v>82.5</v>
      </c>
      <c r="E5" s="18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5" t="s">
        <v>29</v>
      </c>
      <c r="C6" s="7">
        <v>76.0</v>
      </c>
      <c r="E6" s="18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5" t="s">
        <v>31</v>
      </c>
      <c r="C7" s="7">
        <v>66.5</v>
      </c>
      <c r="E7" s="18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5" t="s">
        <v>33</v>
      </c>
      <c r="C8" s="7">
        <v>57.5</v>
      </c>
      <c r="E8" s="18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35</v>
      </c>
      <c r="L8" s="7">
        <f>L4-L7
</f>
        <v>180</v>
      </c>
    </row>
    <row r="9">
      <c r="A9" s="1">
        <v>8.0</v>
      </c>
      <c r="B9" s="5" t="s">
        <v>36</v>
      </c>
      <c r="C9" s="7">
        <v>53.0</v>
      </c>
      <c r="E9" s="18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37</v>
      </c>
      <c r="L9" s="7">
        <f>L6-L8
</f>
        <v>1020</v>
      </c>
    </row>
    <row r="10">
      <c r="A10" s="1">
        <v>9.0</v>
      </c>
      <c r="B10" s="5" t="s">
        <v>38</v>
      </c>
      <c r="C10" s="7">
        <v>48.0</v>
      </c>
      <c r="E10" s="18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7">
        <f>IF(L3&gt;1,L9/(L3-1),0)</f>
        <v>92.72727273</v>
      </c>
    </row>
    <row r="11">
      <c r="A11" s="1">
        <v>10.0</v>
      </c>
      <c r="B11" s="5" t="s">
        <v>40</v>
      </c>
      <c r="C11" s="7">
        <v>43.0</v>
      </c>
      <c r="E11" s="18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5" t="s">
        <v>43</v>
      </c>
      <c r="C12" s="7">
        <v>39.0</v>
      </c>
      <c r="E12" s="18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5" t="s">
        <v>44</v>
      </c>
      <c r="C13" s="7">
        <v>34.0</v>
      </c>
      <c r="E13" s="18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5" t="s">
        <v>47</v>
      </c>
      <c r="C14" s="7">
        <v>30.5</v>
      </c>
      <c r="E14" s="18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5" t="s">
        <v>49</v>
      </c>
      <c r="C15" s="7">
        <v>27.5</v>
      </c>
      <c r="E15" s="18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5" t="s">
        <v>50</v>
      </c>
      <c r="C16" s="7">
        <v>25.5</v>
      </c>
      <c r="E16" s="18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54</v>
      </c>
      <c r="C17" s="7">
        <v>22.5</v>
      </c>
      <c r="E17" s="18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5" t="s">
        <v>55</v>
      </c>
      <c r="C18" s="7">
        <v>20.0</v>
      </c>
      <c r="E18" s="18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5" t="s">
        <v>57</v>
      </c>
      <c r="C19" s="7">
        <v>18.5</v>
      </c>
      <c r="E19" s="18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5" t="s">
        <v>58</v>
      </c>
      <c r="C20" s="7">
        <v>16.5</v>
      </c>
      <c r="E20" s="18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5" t="s">
        <v>59</v>
      </c>
      <c r="C21" s="7">
        <v>14.5</v>
      </c>
      <c r="E21" s="18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5" t="s">
        <v>60</v>
      </c>
      <c r="C22" s="7">
        <v>13.5</v>
      </c>
      <c r="E22" s="18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5" t="s">
        <v>61</v>
      </c>
      <c r="C23" s="7">
        <v>12.0</v>
      </c>
      <c r="E23" s="18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5" t="s">
        <v>62</v>
      </c>
      <c r="C24" s="7">
        <v>11.0</v>
      </c>
      <c r="E24" s="18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5" t="s">
        <v>63</v>
      </c>
      <c r="C25" s="7">
        <v>10.0</v>
      </c>
      <c r="E25" s="18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5" t="s">
        <v>64</v>
      </c>
      <c r="C26" s="7">
        <v>9.5</v>
      </c>
      <c r="E26" s="18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5" t="s">
        <v>65</v>
      </c>
      <c r="C27" s="7">
        <v>8.5</v>
      </c>
      <c r="E27" s="18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8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8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8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8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8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8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8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8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8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8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8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8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8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8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8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8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8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8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8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8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8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8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8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8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8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8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8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8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8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8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8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8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8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8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5" t="s">
        <v>110</v>
      </c>
      <c r="C62" s="7">
        <v>1.0</v>
      </c>
      <c r="E62" s="18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5" t="s">
        <v>112</v>
      </c>
      <c r="C63" s="7">
        <v>1.0</v>
      </c>
      <c r="E63" s="18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5" t="s">
        <v>113</v>
      </c>
      <c r="C64" s="7">
        <v>1.0</v>
      </c>
      <c r="E64" s="18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5" t="s">
        <v>114</v>
      </c>
      <c r="C65" s="7">
        <v>1.0</v>
      </c>
      <c r="E65" s="18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5" t="s">
        <v>115</v>
      </c>
      <c r="C66" s="7">
        <v>1.0</v>
      </c>
      <c r="E66" s="18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5" t="s">
        <v>116</v>
      </c>
      <c r="C67" s="7">
        <v>1.0</v>
      </c>
      <c r="E67" s="18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5" t="s">
        <v>117</v>
      </c>
      <c r="C68" s="7">
        <v>1.0</v>
      </c>
      <c r="E68" s="18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5" t="s">
        <v>118</v>
      </c>
      <c r="C69" s="7">
        <v>1.0</v>
      </c>
      <c r="E69" s="18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5" t="s">
        <v>119</v>
      </c>
      <c r="C70" s="7">
        <v>1.0</v>
      </c>
      <c r="E70" s="18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5" t="s">
        <v>121</v>
      </c>
      <c r="C71" s="7">
        <v>1.0</v>
      </c>
      <c r="E71" s="18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5" t="s">
        <v>123</v>
      </c>
      <c r="C72" s="7">
        <v>1.0</v>
      </c>
      <c r="E72" s="18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124</v>
      </c>
      <c r="C73" s="7">
        <v>1.0</v>
      </c>
      <c r="E73" s="18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