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<sst xmlns="http://schemas.openxmlformats.org/spreadsheetml/2006/main" count="312" uniqueCount="178">
  <si>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</si>
  <si>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</si>
  <si>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</si>
  <si>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</si>
  <si>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</si>
  <si>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</si>
  <si>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</si>
  <si>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</si>
  <si>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</si>
  <si>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</si>
  <si>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</si>
  <si>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</si>
  <si>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EnforceUpTo</t>
  </si>
  <si>
    <t>Floors</t>
  </si>
  <si>
    <t>Value vs Fair</t>
  </si>
  <si>
    <t>Settings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</si>
  <si>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</si>
  <si>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</si>
  <si>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</si>
  <si>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</si>
  <si>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</si>
  <si>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</si>
  <si>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</si>
  <si>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</si>
  <si>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</si>
  <si>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</si>
  <si>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</si>
  <si>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</si>
  <si>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</si>
  <si>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</si>
  <si>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</si>
  <si>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</si>
  <si>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</si>
  <si>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</si>
  <si>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</si>
  <si>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</si>
  <si>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</si>
  <si>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</si>
  <si>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</si>
  <si>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</si>
  <si>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</si>
  <si>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</si>
  <si>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</si>
  <si>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</si>
  <si>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</si>
  <si>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</si>
  <si>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</si>
  <si>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</si>
  <si>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</si>
  <si>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</si>
  <si>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</si>
  <si>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Aggression</t>
  </si>
  <si>
    <t>Round 5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</si>
  <si>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</si>
  <si>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</si>
  <si>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</si>
  <si>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</si>
  <si>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</si>
  <si>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</si>
  <si>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</si>
  <si>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</si>
  <si>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</si>
  <si>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</si>
  <si>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</si>
  <si>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</si>
  <si>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</si>
  <si>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</si>
  <si>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</si>
  <si>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</si>
  <si>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</si>
  <si>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</si>
  <si>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</si>
  <si>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</si>
  <si>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</si>
  <si>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</si>
  <si>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</si>
  <si>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</si>
  <si>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</si>
  <si>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</si>
  <si>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</si>
  <si>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</si>
  <si>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</si>
  <si>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</si>
  <si>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</si>
  <si>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</si>
  <si>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</si>
  <si>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</si>
  <si>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</si>
  <si>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</si>
  <si>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</si>
  <si>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</si>
  <si>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</si>
  <si>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</si>
  <si>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</si>
  <si>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Standings</t>
  </si>
  <si>
    <t>Owner</t>
  </si>
  <si>
    <t>Pick #</t>
  </si>
  <si>
    <t>Override Owner</t>
  </si>
  <si>
    <t>Justin Joly</t>
  </si>
  <si>
    <t>Owner (Final)</t>
  </si>
  <si>
    <t>Round</t>
  </si>
  <si>
    <t>Original Owner</t>
  </si>
  <si>
    <t>New Owner</t>
  </si>
  <si>
    <t>Key</t>
  </si>
  <si>
    <t>Eli Raridon</t>
  </si>
  <si>
    <t>Ed</t>
  </si>
  <si>
    <t>DJ Rogers</t>
  </si>
  <si>
    <t>Lake McRee</t>
  </si>
  <si>
    <t>Cade Klubnik</t>
  </si>
  <si>
    <t>Drew Allar</t>
  </si>
  <si>
    <t>Carson Beck</t>
  </si>
  <si>
    <t>Joe Royer</t>
  </si>
  <si>
    <t>Brent</t>
  </si>
  <si>
    <t>Sam Roush</t>
  </si>
  <si>
    <t>Tanner Koziol</t>
  </si>
  <si>
    <t>Joey</t>
  </si>
  <si>
    <t>Jack Endries</t>
  </si>
  <si>
    <t>Matthew Hibner</t>
  </si>
  <si>
    <t>MaKayla</t>
  </si>
  <si>
    <t>Tyren Montgomery</t>
  </si>
  <si>
    <t>Bryce Lance</t>
  </si>
  <si>
    <t>Ty</t>
  </si>
  <si>
    <t>Kevin Coleman</t>
  </si>
  <si>
    <t>Garrett Nussmeier</t>
  </si>
  <si>
    <t>Nate Boerkircher</t>
  </si>
  <si>
    <t>Kich</t>
  </si>
  <si>
    <t>Will Kacmarek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</si>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</sst>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7</v>
      </c>
      <c r="E1" s="4" t="s">
        <v>9</v>
      </c>
      <c r="F1" s="5">
        <v>2025.0</v>
      </c>
      <c r="G1" s="5">
        <v>2024.0</v>
      </c>
      <c r="H1" s="7">
        <v>2026.0</v>
      </c>
      <c r="I1" s="8" t="s">
        <v>13</v>
      </c>
      <c r="J1" s="8" t="s">
        <v>16</v>
      </c>
      <c r="K1" s="8" t="s">
        <v>18</v>
      </c>
      <c r="L1" s="11" t="s">
        <v>19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37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6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42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6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47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6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6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6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6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94</v>
      </c>
      <c r="P29" s="8" t="s">
        <v>95</v>
      </c>
      <c r="Q29" s="12"/>
      <c r="R29" s="8" t="s">
        <v>96</v>
      </c>
      <c r="S29" s="8" t="s">
        <v>97</v>
      </c>
      <c r="T29" s="8" t="s">
        <v>99</v>
      </c>
      <c r="U29" s="12"/>
      <c r="V29" s="8" t="s">
        <v>100</v>
      </c>
      <c r="W29" s="8" t="s">
        <v>101</v>
      </c>
      <c r="X29" s="8" t="s">
        <v>102</v>
      </c>
      <c r="Y29" s="8" t="s">
        <v>103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5">
        <v>1.0</v>
      </c>
      <c r="P30" s="8" t="s">
        <v>105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5">
        <v>2.0</v>
      </c>
      <c r="P31" s="8" t="s">
        <v>112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5">
        <v>3.0</v>
      </c>
      <c r="P32" s="8" t="s">
        <v>115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5">
        <v>4.0</v>
      </c>
      <c r="P33" s="8" t="s">
        <v>118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5">
        <v>5.0</v>
      </c>
      <c r="P34" s="8" t="s">
        <v>121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5">
        <v>6.0</v>
      </c>
      <c r="P35" s="8" t="s">
        <v>125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100</v>
      </c>
      <c r="P44" s="8" t="s">
        <v>20</v>
      </c>
      <c r="Q44" s="8" t="s">
        <v>134</v>
      </c>
      <c r="R44" s="8" t="s">
        <v>95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125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121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118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115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112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105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54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55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38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49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116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123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120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110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104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98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109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108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8</v>
      </c>
      <c r="F1" s="6" t="s">
        <v>10</v>
      </c>
      <c r="G1" s="6" t="s">
        <v>11</v>
      </c>
      <c r="H1" s="6" t="s">
        <v>12</v>
      </c>
      <c r="I1" s="2" t="s">
        <v>14</v>
      </c>
      <c r="K1" s="2" t="s">
        <v>15</v>
      </c>
    </row>
    <row r="2">
      <c r="A2" s="2">
        <v>1.0</v>
      </c>
      <c r="B2" s="9" t="s">
        <v>17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6">
        <f>'Draft Data'!U63</f>
        <v>180</v>
      </c>
    </row>
    <row r="5">
      <c r="A5" s="2">
        <v>4.0</v>
      </c>
      <c r="B5" s="9" t="s">
        <v>27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38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0">
        <f>IF(L3&gt;1,L9/(L3-1),0)</f>
        <v>92.72727273</v>
      </c>
    </row>
    <row r="11">
      <c r="A11" s="2">
        <v>10.0</v>
      </c>
      <c r="B11" s="9" t="s">
        <v>40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43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44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45</v>
      </c>
      <c r="L13" s="18">
        <f>SUMIF($D$2:$D$73,"",$C$2:$C$73)</f>
        <v>1200</v>
      </c>
    </row>
    <row r="14">
      <c r="A14" s="2">
        <v>13.0</v>
      </c>
      <c r="B14" s="9" t="s">
        <v>46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9" t="s">
        <v>49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50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54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55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9" t="s">
        <v>57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58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59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60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98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104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106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107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108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109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110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111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113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114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116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117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119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120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122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123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124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126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127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