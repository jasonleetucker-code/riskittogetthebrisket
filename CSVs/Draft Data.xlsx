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<sst xmlns="http://schemas.openxmlformats.org/spreadsheetml/2006/main" count="312" uniqueCount="178">
  <si>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</si>
  <si>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</si>
  <si>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</si>
  <si>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</si>
  <si>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</si>
  <si>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</si>
  <si>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</si>
  <si>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Floors</t>
  </si>
  <si>
    <t>PreDraft$</t>
  </si>
  <si>
    <t>Final Price</t>
  </si>
  <si>
    <t>Fractions</t>
  </si>
  <si>
    <t>Mine?</t>
  </si>
  <si>
    <t>Monotone Rounded</t>
  </si>
  <si>
    <t>Final Dollar Per Pick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</si>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</sst>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7</v>
      </c>
      <c r="J1" s="7" t="s">
        <v>10</v>
      </c>
      <c r="K1" s="7" t="s">
        <v>12</v>
      </c>
      <c r="L1" s="8" t="s">
        <v>13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7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7" t="s">
        <v>44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7" t="s">
        <v>51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7" t="s">
        <v>58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7" t="s">
        <v>67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7" t="s">
        <v>74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7" t="s">
        <v>113</v>
      </c>
      <c r="P29" s="7" t="s">
        <v>114</v>
      </c>
      <c r="Q29" s="9"/>
      <c r="R29" s="7" t="s">
        <v>115</v>
      </c>
      <c r="S29" s="7" t="s">
        <v>116</v>
      </c>
      <c r="T29" s="7" t="s">
        <v>117</v>
      </c>
      <c r="U29" s="9"/>
      <c r="V29" s="7" t="s">
        <v>118</v>
      </c>
      <c r="W29" s="7" t="s">
        <v>119</v>
      </c>
      <c r="X29" s="7" t="s">
        <v>120</v>
      </c>
      <c r="Y29" s="7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7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7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6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7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6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7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6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7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6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7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6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6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6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6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6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6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6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6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6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7" t="s">
        <v>118</v>
      </c>
      <c r="P44" s="7" t="s">
        <v>15</v>
      </c>
      <c r="Q44" s="7" t="s">
        <v>134</v>
      </c>
      <c r="R44" s="7" t="s">
        <v>114</v>
      </c>
      <c r="S44" s="9"/>
      <c r="T44" s="9"/>
      <c r="U44" s="9"/>
      <c r="V44" s="6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6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6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6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6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6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6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6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6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6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6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6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6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6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6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7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6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6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6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50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55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57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66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68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62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56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71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73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70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65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8</v>
      </c>
      <c r="D1" s="5" t="s">
        <v>9</v>
      </c>
      <c r="E1" s="5" t="s">
        <v>11</v>
      </c>
      <c r="F1" s="10" t="s">
        <v>14</v>
      </c>
      <c r="G1" s="10" t="s">
        <v>16</v>
      </c>
      <c r="H1" s="10" t="s">
        <v>17</v>
      </c>
      <c r="I1" s="5" t="s">
        <v>18</v>
      </c>
      <c r="K1" s="5" t="s">
        <v>19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5" t="s">
        <v>25</v>
      </c>
      <c r="L4" s="10">
        <f>'Draft Data'!U63</f>
        <v>180</v>
      </c>
    </row>
    <row r="5">
      <c r="A5" s="5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5" t="s">
        <v>28</v>
      </c>
      <c r="L5" s="17">
        <f>SUM($D$2:$D$500)
</f>
        <v>0</v>
      </c>
    </row>
    <row r="6">
      <c r="A6" s="5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5" t="s">
        <v>30</v>
      </c>
      <c r="L6" s="17">
        <f>L2-L5
</f>
        <v>1200</v>
      </c>
    </row>
    <row r="7">
      <c r="A7" s="5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5" t="s">
        <v>32</v>
      </c>
      <c r="L7" s="17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5" t="s">
        <v>36</v>
      </c>
      <c r="L9" s="12">
        <f>L6-L8
</f>
        <v>1020</v>
      </c>
    </row>
    <row r="10">
      <c r="A10" s="5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5" t="s">
        <v>38</v>
      </c>
      <c r="L10" s="12">
        <f>IF(L3&gt;1,L9/(L3-1),0)</f>
        <v>92.72727273</v>
      </c>
    </row>
    <row r="11">
      <c r="A11" s="5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5" t="s">
        <v>40</v>
      </c>
      <c r="L11" s="19">
        <f>IF(L10&gt;0,L8/L10,1)</f>
        <v>1.941176471</v>
      </c>
    </row>
    <row r="12">
      <c r="A12" s="5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5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5" t="s">
        <v>43</v>
      </c>
      <c r="L13" s="17">
        <f>SUMIF($D$2:$D$73,"",$C$2:$C$73)</f>
        <v>1200</v>
      </c>
    </row>
    <row r="14">
      <c r="A14" s="5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5" t="s">
        <v>46</v>
      </c>
      <c r="L14" s="19">
        <f>IF(L13&gt;0,L6/L13,1)</f>
        <v>1</v>
      </c>
    </row>
    <row r="15">
      <c r="A15" s="5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5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5" t="s">
        <v>49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5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5" t="s">
        <v>53</v>
      </c>
      <c r="L18" s="20">
        <f>L5/L2</f>
        <v>0</v>
      </c>
    </row>
    <row r="19">
      <c r="A19" s="5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5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5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5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5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5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5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5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5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5" t="s">
        <v>64</v>
      </c>
      <c r="L27" s="5">
        <v>0.8</v>
      </c>
    </row>
    <row r="28">
      <c r="A28" s="5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5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5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5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5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5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5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5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5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5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5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5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5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5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5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5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