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<sst xmlns="http://schemas.openxmlformats.org/spreadsheetml/2006/main" count="312" uniqueCount="178">
  <si>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</si>
  <si>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</si>
  <si>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</si>
  <si>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</si>
  <si>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</si>
  <si>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New Values</t>
  </si>
  <si>
    <t>PreDraft$</t>
  </si>
  <si>
    <t>Spine</t>
  </si>
  <si>
    <t>Final Price</t>
  </si>
  <si>
    <t>Mine?</t>
  </si>
  <si>
    <t>Inflated Fair Price</t>
  </si>
  <si>
    <t>Floors</t>
  </si>
  <si>
    <t>Fractions</t>
  </si>
  <si>
    <t>Monotone Rounded</t>
  </si>
  <si>
    <t>My Max Bid</t>
  </si>
  <si>
    <t>Final Dollar Per Pick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</si>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</sst>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5</v>
      </c>
      <c r="E1" s="4" t="s">
        <v>7</v>
      </c>
      <c r="F1" s="5">
        <v>2025.0</v>
      </c>
      <c r="G1" s="5">
        <v>2024.0</v>
      </c>
      <c r="H1" s="6">
        <v>2026.0</v>
      </c>
      <c r="I1" s="7" t="s">
        <v>11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53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118</v>
      </c>
      <c r="P44" s="7" t="s">
        <v>18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7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7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7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7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7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7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7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7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7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7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7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7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7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7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7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7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7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7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7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7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7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7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7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7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6</v>
      </c>
      <c r="D1" s="2" t="s">
        <v>8</v>
      </c>
      <c r="E1" s="2" t="s">
        <v>9</v>
      </c>
      <c r="F1" s="8" t="s">
        <v>10</v>
      </c>
      <c r="G1" s="8" t="s">
        <v>14</v>
      </c>
      <c r="H1" s="8" t="s">
        <v>16</v>
      </c>
      <c r="I1" s="2" t="s">
        <v>17</v>
      </c>
      <c r="K1" s="2" t="s">
        <v>19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8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8">
        <f>SUMIF($D$2:$D$73,"",$C$2:$C$73)</f>
        <v>1200</v>
      </c>
    </row>
    <row r="14">
      <c r="A14" s="2">
        <v>13.0</v>
      </c>
      <c r="B14" s="11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