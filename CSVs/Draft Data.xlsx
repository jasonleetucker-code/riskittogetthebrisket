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<sst xmlns="http://schemas.openxmlformats.org/spreadsheetml/2006/main" count="312" uniqueCount="178">
  <si>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</si>
  <si>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</si>
  <si>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</si>
  <si>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</si>
  <si>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</si>
  <si>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</si>
  <si>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</si>
  <si>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</si>
  <si>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</si>
  <si>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</si>
  <si>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</si>
  <si>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</si>
  <si>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</si>
  <si>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</si>
  <si>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</si>
  <si>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</si>
  <si>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</si>
  <si>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</si>
  <si>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</si>
  <si>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</si>
  <si>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</si>
  <si>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</si>
  <si>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</si>
  <si>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</si>
  <si>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</si>
  <si>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</si>
  <si>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</si>
  <si>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</si>
  <si>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</si>
  <si>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</si>
  <si>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</si>
  <si>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</si>
  <si>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</si>
  <si>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</si>
  <si>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</si>
  <si>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</si>
  <si>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</si>
  <si>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</si>
  <si>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</si>
  <si>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</si>
  <si>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</si>
  <si>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</si>
  <si>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</si>
  <si>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</si>
  <si>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</si>
  <si>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</si>
  <si>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</si>
  <si>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</si>
  <si>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</si>
  <si>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</si>
  <si>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</si>
  <si>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</si>
  <si>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</si>
  <si>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</si>
  <si>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</si>
  <si>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</si>
  <si>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</si>
  <si>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</si>
  <si>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</si>
  <si>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</si>
  <si>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</si>
  <si>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</si>
  <si>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</si>
  <si>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</si>
  <si>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</si>
  <si>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</si>
  <si>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</si>
  <si>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</si>
  <si>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</si>
  <si>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</si>
  <si>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</si>
  <si>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</si>
  <si>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</si>
  <si>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</si>
  <si>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</si>
  <si>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</si>
  <si>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</si>
  <si>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</si>
  <si>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</si>
  <si>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</si>
  <si>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</si>
  <si>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</si>
  <si>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</si>
  <si>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</si>
  <si>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</si>
  <si>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</si>
  <si>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</si>
  <si>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</si>
  <si>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</si>
  <si>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</si>
  <si>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</si>
  <si>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</si>
  <si>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</si>
  <si>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</si>
  <si>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</si>
  <si>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</si>
  <si>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</si>
  <si>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</si>
  <si>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</si>
  <si>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</si>
  <si>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</si>
  <si>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</si>
  <si>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</si>
  <si>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</si>
  <si>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</si>
  <si>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</si>
  <si>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</si>
  <si>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</si>
  <si>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Matthew Hibner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</si>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</sst>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50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105</v>
      </c>
      <c r="P29" s="6" t="s">
        <v>106</v>
      </c>
      <c r="Q29" s="8"/>
      <c r="R29" s="6" t="s">
        <v>107</v>
      </c>
      <c r="S29" s="6" t="s">
        <v>109</v>
      </c>
      <c r="T29" s="6" t="s">
        <v>110</v>
      </c>
      <c r="U29" s="8"/>
      <c r="V29" s="6" t="s">
        <v>111</v>
      </c>
      <c r="W29" s="6" t="s">
        <v>112</v>
      </c>
      <c r="X29" s="6" t="s">
        <v>113</v>
      </c>
      <c r="Y29" s="6" t="s">
        <v>114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117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111</v>
      </c>
      <c r="P44" s="6" t="s">
        <v>9</v>
      </c>
      <c r="Q44" s="6" t="s">
        <v>134</v>
      </c>
      <c r="R44" s="6" t="s">
        <v>106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117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49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52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46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54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56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57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40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48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58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119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116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45</v>
      </c>
      <c r="L13" s="18">
        <f>SUMIF($D$2:$D$73,"",$C$2:$C$73)</f>
        <v>1200</v>
      </c>
    </row>
    <row r="14">
      <c r="A14" s="9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47</v>
      </c>
      <c r="L14" s="19">
        <f>IF(L13&gt;0,L6/L13,1)</f>
        <v>1</v>
      </c>
    </row>
    <row r="15">
      <c r="A15" s="9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55</v>
      </c>
      <c r="L18" s="20">
        <f>L5/L2</f>
        <v>0</v>
      </c>
    </row>
    <row r="19">
      <c r="A19" s="9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108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115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116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