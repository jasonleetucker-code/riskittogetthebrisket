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<sst xmlns="http://schemas.openxmlformats.org/spreadsheetml/2006/main" count="312" uniqueCount="178">
  <si>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</si>
  <si>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</si>
  <si>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</si>
  <si>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</si>
  <si>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</si>
  <si>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</si>
  <si>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</si>
  <si>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</si>
  <si>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</si>
  <si>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Spine</t>
  </si>
  <si>
    <t>Inflated Fair Price</t>
  </si>
  <si>
    <t>My Max Bid</t>
  </si>
  <si>
    <t>EnforceUpTo</t>
  </si>
  <si>
    <t>Floors</t>
  </si>
  <si>
    <t>Value vs Fair</t>
  </si>
  <si>
    <t>Settings</t>
  </si>
  <si>
    <t>Fractions</t>
  </si>
  <si>
    <t>Monotone Rounded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</si>
  <si>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</si>
  <si>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</si>
  <si>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</si>
  <si>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</si>
  <si>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</si>
  <si>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</si>
  <si>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</si>
  <si>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</si>
  <si>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</si>
  <si>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</si>
  <si>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</si>
  <si>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</si>
  <si>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</si>
  <si>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</si>
  <si>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</si>
  <si>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</si>
  <si>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</si>
  <si>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</si>
  <si>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</si>
  <si>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</si>
  <si>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</si>
  <si>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</si>
  <si>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</si>
  <si>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</si>
  <si>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</si>
  <si>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</si>
  <si>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</si>
  <si>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</si>
  <si>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</si>
  <si>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</si>
  <si>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</si>
  <si>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</si>
  <si>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</si>
  <si>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</si>
  <si>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</si>
  <si>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</si>
  <si>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</si>
  <si>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</si>
  <si>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</si>
  <si>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</si>
  <si>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</si>
  <si>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</si>
  <si>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Round 5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</si>
  <si>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</si>
  <si>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</si>
  <si>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</si>
  <si>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</si>
  <si>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</si>
  <si>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</si>
  <si>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</si>
  <si>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</si>
  <si>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6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</si>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</sst>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9</v>
      </c>
      <c r="F1" s="6">
        <v>2025.0</v>
      </c>
      <c r="G1" s="6">
        <v>2024.0</v>
      </c>
      <c r="H1" s="7">
        <v>2026.0</v>
      </c>
      <c r="I1" s="8" t="s">
        <v>13</v>
      </c>
      <c r="J1" s="8" t="s">
        <v>16</v>
      </c>
      <c r="K1" s="8" t="s">
        <v>17</v>
      </c>
      <c r="L1" s="9" t="s">
        <v>18</v>
      </c>
      <c r="M1" s="6">
        <v>12.0</v>
      </c>
      <c r="N1" s="11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8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8" t="s">
        <v>60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8" t="s">
        <v>69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8" t="s">
        <v>113</v>
      </c>
      <c r="P29" s="8" t="s">
        <v>114</v>
      </c>
      <c r="Q29" s="11"/>
      <c r="R29" s="8" t="s">
        <v>115</v>
      </c>
      <c r="S29" s="8" t="s">
        <v>116</v>
      </c>
      <c r="T29" s="8" t="s">
        <v>117</v>
      </c>
      <c r="U29" s="11"/>
      <c r="V29" s="8" t="s">
        <v>118</v>
      </c>
      <c r="W29" s="8" t="s">
        <v>119</v>
      </c>
      <c r="X29" s="8" t="s">
        <v>120</v>
      </c>
      <c r="Y29" s="8" t="s">
        <v>121</v>
      </c>
      <c r="Z29" s="11"/>
      <c r="AA29" s="11"/>
      <c r="AB29" s="11"/>
      <c r="AC29" s="11"/>
      <c r="AD29" s="11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6">
        <v>1.0</v>
      </c>
      <c r="P30" s="8" t="s">
        <v>122</v>
      </c>
      <c r="Q30" s="11"/>
      <c r="R30" s="6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3"/>
      <c r="W30" s="23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6">
        <v>2.0</v>
      </c>
      <c r="P31" s="8" t="s">
        <v>123</v>
      </c>
      <c r="Q31" s="11"/>
      <c r="R31" s="6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6">
        <v>3.0</v>
      </c>
      <c r="P32" s="8" t="s">
        <v>124</v>
      </c>
      <c r="Q32" s="11"/>
      <c r="R32" s="6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6">
        <v>4.0</v>
      </c>
      <c r="P33" s="8" t="s">
        <v>125</v>
      </c>
      <c r="Q33" s="11"/>
      <c r="R33" s="6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6">
        <v>5.0</v>
      </c>
      <c r="P34" s="8" t="s">
        <v>126</v>
      </c>
      <c r="Q34" s="11"/>
      <c r="R34" s="6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6">
        <v>6.0</v>
      </c>
      <c r="P35" s="8" t="s">
        <v>127</v>
      </c>
      <c r="Q35" s="11"/>
      <c r="R35" s="6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6">
        <v>7.0</v>
      </c>
      <c r="P36" s="8" t="s">
        <v>128</v>
      </c>
      <c r="Q36" s="11"/>
      <c r="R36" s="6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6">
        <v>8.0</v>
      </c>
      <c r="P37" s="8" t="s">
        <v>129</v>
      </c>
      <c r="Q37" s="11"/>
      <c r="R37" s="6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6">
        <v>9.0</v>
      </c>
      <c r="P38" s="8" t="s">
        <v>130</v>
      </c>
      <c r="Q38" s="11"/>
      <c r="R38" s="6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6">
        <v>10.0</v>
      </c>
      <c r="P39" s="8" t="s">
        <v>131</v>
      </c>
      <c r="Q39" s="11"/>
      <c r="R39" s="6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6">
        <v>11.0</v>
      </c>
      <c r="P40" s="8" t="s">
        <v>132</v>
      </c>
      <c r="Q40" s="11"/>
      <c r="R40" s="6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6">
        <v>12.0</v>
      </c>
      <c r="P41" s="8" t="s">
        <v>133</v>
      </c>
      <c r="Q41" s="11"/>
      <c r="R41" s="6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8" t="s">
        <v>118</v>
      </c>
      <c r="P44" s="8" t="s">
        <v>20</v>
      </c>
      <c r="Q44" s="8" t="s">
        <v>134</v>
      </c>
      <c r="R44" s="8" t="s">
        <v>114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3"/>
      <c r="W58" s="23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3"/>
      <c r="W59" s="23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3"/>
      <c r="W60" s="23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3"/>
      <c r="W64" s="23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3"/>
      <c r="W69" s="23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125</v>
      </c>
      <c r="U71" s="16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124</v>
      </c>
      <c r="U72" s="16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123</v>
      </c>
      <c r="U73" s="16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122</v>
      </c>
      <c r="U74" s="16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1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28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33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31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48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51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45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53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35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55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56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58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37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39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47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67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68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63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57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61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62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66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109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107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10</v>
      </c>
      <c r="G1" s="5" t="s">
        <v>11</v>
      </c>
      <c r="H1" s="5" t="s">
        <v>12</v>
      </c>
      <c r="I1" s="2" t="s">
        <v>14</v>
      </c>
      <c r="K1" s="2" t="s">
        <v>15</v>
      </c>
    </row>
    <row r="2">
      <c r="A2" s="2">
        <v>1.0</v>
      </c>
      <c r="B2" s="10" t="s">
        <v>19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0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10" t="s">
        <v>24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10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10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10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2">
        <f>L4-L7
</f>
        <v>180</v>
      </c>
    </row>
    <row r="9">
      <c r="A9" s="2">
        <v>8.0</v>
      </c>
      <c r="B9" s="10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2">
        <f>L6-L8
</f>
        <v>1020</v>
      </c>
    </row>
    <row r="10">
      <c r="A10" s="2">
        <v>9.0</v>
      </c>
      <c r="B10" s="10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2">
        <f>IF(L3&gt;1,L9/(L3-1),0)</f>
        <v>92.72727273</v>
      </c>
    </row>
    <row r="11">
      <c r="A11" s="2">
        <v>10.0</v>
      </c>
      <c r="B11" s="10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10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10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10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10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10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0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10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10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10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10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10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10" t="s">
        <v>59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10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10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10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10" t="s">
        <v>64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65</v>
      </c>
      <c r="L27" s="2">
        <v>0.8</v>
      </c>
    </row>
    <row r="28">
      <c r="A28" s="2">
        <v>27.0</v>
      </c>
      <c r="B28" s="10" t="s">
        <v>66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10" t="s">
        <v>67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10" t="s">
        <v>68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10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10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10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10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10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10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10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10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10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10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10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10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10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10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10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10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10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10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10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10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10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10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10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10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10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10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10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10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10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10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10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10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10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10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10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10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10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10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10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10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10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10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