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<sst xmlns="http://schemas.openxmlformats.org/spreadsheetml/2006/main" count="312" uniqueCount="178">
  <si>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</si>
  <si>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</si>
  <si>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</si>
  <si>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</si>
  <si>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</si>
  <si>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</si>
  <si>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</si>
  <si>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</si>
  <si>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</si>
  <si>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</si>
  <si>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</si>
  <si>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</si>
  <si>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</si>
  <si>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</si>
  <si>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</si>
  <si>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</si>
  <si>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</si>
  <si>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</si>
  <si>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</si>
  <si>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</si>
  <si>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</si>
  <si>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</si>
  <si>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</si>
  <si>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</si>
  <si>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</si>
  <si>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</si>
  <si>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</si>
  <si>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</si>
  <si>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</si>
  <si>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</si>
  <si>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</si>
  <si>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</si>
  <si>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</si>
  <si>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</si>
  <si>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</si>
  <si>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</si>
  <si>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</si>
  <si>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</si>
  <si>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</si>
  <si>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</si>
  <si>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</si>
  <si>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</si>
  <si>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</si>
  <si>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</si>
  <si>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</si>
  <si>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Undrafted Predraft$</t>
  </si>
  <si>
    <t>Round 4</t>
  </si>
  <si>
    <t>Arvell Reese</t>
  </si>
  <si>
    <t>Inflation Factor</t>
  </si>
  <si>
    <t>Ty Simpson</t>
  </si>
  <si>
    <t>Denzel Boston</t>
  </si>
  <si>
    <t>Round 5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</si>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</sst>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4" t="s">
        <v>7</v>
      </c>
      <c r="C1" s="5" t="s">
        <v>10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3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10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3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10" t="s">
        <v>46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3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10" t="s">
        <v>51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3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10" t="s">
        <v>64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3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3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50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53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47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54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38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40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49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8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6" t="s">
        <v>29</v>
      </c>
      <c r="C6" s="8">
        <v>76.0</v>
      </c>
      <c r="E6" s="18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6" t="s">
        <v>31</v>
      </c>
      <c r="C7" s="8">
        <v>66.5</v>
      </c>
      <c r="E7" s="18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8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8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37</v>
      </c>
      <c r="L9" s="8">
        <f>L6-L8
</f>
        <v>1020</v>
      </c>
    </row>
    <row r="10">
      <c r="A10" s="1">
        <v>9.0</v>
      </c>
      <c r="B10" s="6" t="s">
        <v>38</v>
      </c>
      <c r="C10" s="8">
        <v>48.0</v>
      </c>
      <c r="E10" s="18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39</v>
      </c>
      <c r="L10" s="8">
        <f>IF(L3&gt;1,L9/(L3-1),0)</f>
        <v>92.72727273</v>
      </c>
    </row>
    <row r="11">
      <c r="A11" s="1">
        <v>10.0</v>
      </c>
      <c r="B11" s="6" t="s">
        <v>40</v>
      </c>
      <c r="C11" s="8">
        <v>43.0</v>
      </c>
      <c r="E11" s="18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6" t="s">
        <v>43</v>
      </c>
      <c r="C12" s="8">
        <v>39.0</v>
      </c>
      <c r="E12" s="18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6" t="s">
        <v>44</v>
      </c>
      <c r="C13" s="8">
        <v>34.0</v>
      </c>
      <c r="E13" s="18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45</v>
      </c>
      <c r="L13" s="18">
        <f>SUMIF($D$2:$D$73,"",$C$2:$C$73)</f>
        <v>1200</v>
      </c>
    </row>
    <row r="14">
      <c r="A14" s="1">
        <v>13.0</v>
      </c>
      <c r="B14" s="6" t="s">
        <v>47</v>
      </c>
      <c r="C14" s="8">
        <v>30.5</v>
      </c>
      <c r="E14" s="18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6" t="s">
        <v>49</v>
      </c>
      <c r="C15" s="8">
        <v>27.5</v>
      </c>
      <c r="E15" s="18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6" t="s">
        <v>50</v>
      </c>
      <c r="C16" s="8">
        <v>25.5</v>
      </c>
      <c r="E16" s="18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53</v>
      </c>
      <c r="C17" s="8">
        <v>22.5</v>
      </c>
      <c r="E17" s="18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6" t="s">
        <v>54</v>
      </c>
      <c r="C18" s="8">
        <v>20.0</v>
      </c>
      <c r="E18" s="18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6" t="s">
        <v>56</v>
      </c>
      <c r="C19" s="8">
        <v>18.5</v>
      </c>
      <c r="E19" s="18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6" t="s">
        <v>57</v>
      </c>
      <c r="C20" s="8">
        <v>16.5</v>
      </c>
      <c r="E20" s="18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6" t="s">
        <v>58</v>
      </c>
      <c r="C21" s="8">
        <v>14.5</v>
      </c>
      <c r="E21" s="18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6" t="s">
        <v>59</v>
      </c>
      <c r="C22" s="8">
        <v>13.5</v>
      </c>
      <c r="E22" s="18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6" t="s">
        <v>60</v>
      </c>
      <c r="C23" s="8">
        <v>12.0</v>
      </c>
      <c r="E23" s="18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6" t="s">
        <v>61</v>
      </c>
      <c r="C24" s="8">
        <v>11.0</v>
      </c>
      <c r="E24" s="18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6" t="s">
        <v>62</v>
      </c>
      <c r="C25" s="8">
        <v>10.0</v>
      </c>
      <c r="E25" s="18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6" t="s">
        <v>63</v>
      </c>
      <c r="C26" s="8">
        <v>9.5</v>
      </c>
      <c r="E26" s="18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8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8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8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8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8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8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8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8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8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8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8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8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8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8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8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8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8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8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8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8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8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8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8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8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8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8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8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8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8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8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8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8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8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8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8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8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8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8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8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8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8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8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8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8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8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8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8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