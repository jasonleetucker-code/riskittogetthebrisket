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<sst xmlns="http://schemas.openxmlformats.org/spreadsheetml/2006/main" count="312" uniqueCount="178">
  <si>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</si>
  <si>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</si>
  <si>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</si>
  <si>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</si>
  <si>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</si>
  <si>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</si>
  <si>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</si>
  <si>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</si>
  <si>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</si>
  <si>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</si>
  <si>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</si>
  <si>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</si>
  <si>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</si>
  <si>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</si>
  <si>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</si>
  <si>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</si>
  <si>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</si>
  <si>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</si>
  <si>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</si>
  <si>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</si>
  <si>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</si>
  <si>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</si>
  <si>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</si>
  <si>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</si>
  <si>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</si>
  <si>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</si>
  <si>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</si>
  <si>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</si>
  <si>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</si>
  <si>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</si>
  <si>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</si>
  <si>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</si>
  <si>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</si>
  <si>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</si>
  <si>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</si>
  <si>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</si>
  <si>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</si>
  <si>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</si>
  <si>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</si>
  <si>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</si>
  <si>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</si>
  <si>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</si>
  <si>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</si>
  <si>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</si>
  <si>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</si>
  <si>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</si>
  <si>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</si>
  <si>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</si>
  <si>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</si>
  <si>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</si>
  <si>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</si>
  <si>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</si>
  <si>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</si>
  <si>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</si>
  <si>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</si>
  <si>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</si>
  <si>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</si>
  <si>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</si>
  <si>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</si>
  <si>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</si>
  <si>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</si>
  <si>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</si>
  <si>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</si>
  <si>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</si>
  <si>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</si>
  <si>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</si>
  <si>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</si>
  <si>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</si>
  <si>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</si>
  <si>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</si>
  <si>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</si>
  <si>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</si>
  <si>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</si>
  <si>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</si>
  <si>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</si>
  <si>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</si>
  <si>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</si>
  <si>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</si>
  <si>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</si>
  <si>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</si>
  <si>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</si>
  <si>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</si>
  <si>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</si>
  <si>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</si>
  <si>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</si>
  <si>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</si>
  <si>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</si>
  <si>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</si>
  <si>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</si>
  <si>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</si>
  <si>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</si>
  <si>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</si>
  <si>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</si>
  <si>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</si>
  <si>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</si>
  <si>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</si>
  <si>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</si>
  <si>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</si>
  <si>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</si>
  <si>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</si>
  <si>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</si>
  <si>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</si>
  <si>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</si>
  <si>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</si>
  <si>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</si>
  <si>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</si>
  <si>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</si>
  <si>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</si>
  <si>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</si>
  <si>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</si>
  <si>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</si>
  <si>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</si>
  <si>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</si>
  <si>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</si>
  <si>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</si>
  <si>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</si>
  <si>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</si>
  <si>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</si>
  <si>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</si>
  <si>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Nate Boerkircher</t>
  </si>
  <si>
    <t>Will Kacmarek</t>
  </si>
  <si>
    <t>Ed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</si>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</sst>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3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36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4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10" t="s">
        <v>43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4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10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4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10" t="s">
        <v>55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4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10" t="s">
        <v>62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4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4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10" t="s">
        <v>110</v>
      </c>
      <c r="P29" s="10" t="s">
        <v>111</v>
      </c>
      <c r="Q29" s="12"/>
      <c r="R29" s="10" t="s">
        <v>112</v>
      </c>
      <c r="S29" s="10" t="s">
        <v>113</v>
      </c>
      <c r="T29" s="10" t="s">
        <v>114</v>
      </c>
      <c r="U29" s="12"/>
      <c r="V29" s="10" t="s">
        <v>115</v>
      </c>
      <c r="W29" s="10" t="s">
        <v>116</v>
      </c>
      <c r="X29" s="10" t="s">
        <v>117</v>
      </c>
      <c r="Y29" s="10" t="s">
        <v>118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10" t="s">
        <v>121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10" t="s">
        <v>115</v>
      </c>
      <c r="P44" s="10" t="s">
        <v>20</v>
      </c>
      <c r="Q44" s="10" t="s">
        <v>134</v>
      </c>
      <c r="R44" s="10" t="s">
        <v>111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121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25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27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46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38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24</v>
      </c>
      <c r="L3" s="1">
        <v>12.0</v>
      </c>
    </row>
    <row r="4">
      <c r="A4" s="1">
        <v>3.0</v>
      </c>
      <c r="B4" s="7" t="s">
        <v>25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26</v>
      </c>
      <c r="L4" s="4">
        <f>'Draft Data'!U63</f>
        <v>180</v>
      </c>
    </row>
    <row r="5">
      <c r="A5" s="1">
        <v>4.0</v>
      </c>
      <c r="B5" s="7" t="s">
        <v>27</v>
      </c>
      <c r="C5" s="9">
        <v>82.5</v>
      </c>
      <c r="E5" s="18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7" t="s">
        <v>29</v>
      </c>
      <c r="C6" s="9">
        <v>76.0</v>
      </c>
      <c r="E6" s="18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7" t="s">
        <v>31</v>
      </c>
      <c r="C7" s="9">
        <v>66.5</v>
      </c>
      <c r="E7" s="18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8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8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37</v>
      </c>
      <c r="L9" s="9">
        <f>L6-L8
</f>
        <v>1020</v>
      </c>
    </row>
    <row r="10">
      <c r="A10" s="1">
        <v>9.0</v>
      </c>
      <c r="B10" s="7" t="s">
        <v>38</v>
      </c>
      <c r="C10" s="9">
        <v>48.0</v>
      </c>
      <c r="E10" s="18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39</v>
      </c>
      <c r="L10" s="9">
        <f>IF(L3&gt;1,L9/(L3-1),0)</f>
        <v>92.72727273</v>
      </c>
    </row>
    <row r="11">
      <c r="A11" s="1">
        <v>10.0</v>
      </c>
      <c r="B11" s="7" t="s">
        <v>40</v>
      </c>
      <c r="C11" s="9">
        <v>43.0</v>
      </c>
      <c r="E11" s="18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8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7" t="s">
        <v>44</v>
      </c>
      <c r="C13" s="9">
        <v>34.0</v>
      </c>
      <c r="E13" s="18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45</v>
      </c>
      <c r="L13" s="18">
        <f>SUMIF($D$2:$D$73,"",$C$2:$C$73)</f>
        <v>1200</v>
      </c>
    </row>
    <row r="14">
      <c r="A14" s="1">
        <v>13.0</v>
      </c>
      <c r="B14" s="7" t="s">
        <v>46</v>
      </c>
      <c r="C14" s="9">
        <v>30.5</v>
      </c>
      <c r="E14" s="18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8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8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8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8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56</v>
      </c>
      <c r="C19" s="9">
        <v>18.5</v>
      </c>
      <c r="E19" s="18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7" t="s">
        <v>57</v>
      </c>
      <c r="C20" s="9">
        <v>16.5</v>
      </c>
      <c r="E20" s="18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8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8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8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8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8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8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8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8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8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8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8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8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8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8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8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8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8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8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8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8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8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8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8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8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8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8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8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8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8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8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8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8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8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8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8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8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8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8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8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8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8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8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8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8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8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8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8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8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8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8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7" t="s">
        <v>119</v>
      </c>
      <c r="C71" s="9">
        <v>1.0</v>
      </c>
      <c r="E71" s="18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7" t="s">
        <v>120</v>
      </c>
      <c r="C72" s="9">
        <v>1.0</v>
      </c>
      <c r="E72" s="18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122</v>
      </c>
      <c r="C73" s="9">
        <v>1.0</v>
      </c>
      <c r="E73" s="18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