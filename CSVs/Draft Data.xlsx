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<sst xmlns="http://schemas.openxmlformats.org/spreadsheetml/2006/main" count="312" uniqueCount="178">
  <si>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</si>
  <si>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</si>
  <si>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</si>
  <si>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</si>
  <si>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</si>
  <si>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</si>
  <si>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</si>
  <si>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</si>
  <si>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</si>
  <si>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</si>
  <si>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</si>
  <si>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</si>
  <si>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</si>
  <si>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</si>
  <si>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</si>
  <si>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</si>
  <si>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</si>
  <si>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</si>
  <si>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</si>
  <si>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</si>
  <si>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</si>
  <si>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</si>
  <si>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</si>
  <si>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</si>
  <si>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</si>
  <si>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</si>
  <si>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</si>
  <si>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</si>
  <si>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</si>
  <si>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</si>
  <si>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</si>
  <si>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</si>
  <si>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</si>
  <si>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</si>
  <si>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</si>
  <si>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</si>
  <si>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</si>
  <si>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</si>
  <si>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</si>
  <si>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</si>
  <si>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</si>
  <si>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</si>
  <si>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</si>
  <si>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</si>
  <si>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</si>
  <si>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</si>
  <si>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</si>
  <si>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</si>
  <si>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Ty Simpson</t>
  </si>
  <si>
    <t>Round 4</t>
  </si>
  <si>
    <t>Denzel Boston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</si>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</sst>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1" numFmtId="0" xfId="0" applyFont="1"/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9" t="s">
        <v>18</v>
      </c>
      <c r="M1" s="6">
        <v>12.0</v>
      </c>
      <c r="N1" s="11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11"/>
      <c r="N2" s="11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1"/>
      <c r="N3" s="11"/>
      <c r="O3" s="8" t="s">
        <v>35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11"/>
      <c r="N4" s="11"/>
      <c r="O4" s="8" t="s">
        <v>42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11"/>
      <c r="N5" s="11"/>
      <c r="O5" s="8" t="s">
        <v>49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11"/>
      <c r="N6" s="11"/>
      <c r="O6" s="8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11"/>
      <c r="N7" s="11"/>
      <c r="O7" s="8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11"/>
      <c r="N30" s="11"/>
      <c r="O30" s="6">
        <v>1.0</v>
      </c>
      <c r="P30" s="8" t="s">
        <v>122</v>
      </c>
      <c r="Q30" s="11"/>
      <c r="R30" s="6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11"/>
      <c r="N31" s="11"/>
      <c r="O31" s="6">
        <v>2.0</v>
      </c>
      <c r="P31" s="8" t="s">
        <v>123</v>
      </c>
      <c r="Q31" s="11"/>
      <c r="R31" s="6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11"/>
      <c r="N32" s="11"/>
      <c r="O32" s="6">
        <v>3.0</v>
      </c>
      <c r="P32" s="8" t="s">
        <v>124</v>
      </c>
      <c r="Q32" s="11"/>
      <c r="R32" s="6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11"/>
      <c r="N33" s="11"/>
      <c r="O33" s="6">
        <v>4.0</v>
      </c>
      <c r="P33" s="8" t="s">
        <v>125</v>
      </c>
      <c r="Q33" s="11"/>
      <c r="R33" s="6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11"/>
      <c r="N34" s="11"/>
      <c r="O34" s="6">
        <v>5.0</v>
      </c>
      <c r="P34" s="8" t="s">
        <v>126</v>
      </c>
      <c r="Q34" s="11"/>
      <c r="R34" s="6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11"/>
      <c r="N35" s="11"/>
      <c r="O35" s="6">
        <v>6.0</v>
      </c>
      <c r="P35" s="8" t="s">
        <v>127</v>
      </c>
      <c r="Q35" s="11"/>
      <c r="R35" s="6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11"/>
      <c r="N36" s="11"/>
      <c r="O36" s="6">
        <v>7.0</v>
      </c>
      <c r="P36" s="8" t="s">
        <v>128</v>
      </c>
      <c r="Q36" s="11"/>
      <c r="R36" s="6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11"/>
      <c r="N37" s="11"/>
      <c r="O37" s="6">
        <v>8.0</v>
      </c>
      <c r="P37" s="8" t="s">
        <v>129</v>
      </c>
      <c r="Q37" s="11"/>
      <c r="R37" s="6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11"/>
      <c r="N38" s="11"/>
      <c r="O38" s="6">
        <v>9.0</v>
      </c>
      <c r="P38" s="8" t="s">
        <v>130</v>
      </c>
      <c r="Q38" s="11"/>
      <c r="R38" s="6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11"/>
      <c r="N39" s="11"/>
      <c r="O39" s="6">
        <v>10.0</v>
      </c>
      <c r="P39" s="8" t="s">
        <v>131</v>
      </c>
      <c r="Q39" s="11"/>
      <c r="R39" s="6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11"/>
      <c r="N40" s="11"/>
      <c r="O40" s="6">
        <v>11.0</v>
      </c>
      <c r="P40" s="8" t="s">
        <v>132</v>
      </c>
      <c r="Q40" s="11"/>
      <c r="R40" s="6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11"/>
      <c r="N41" s="11"/>
      <c r="O41" s="6">
        <v>12.0</v>
      </c>
      <c r="P41" s="8" t="s">
        <v>133</v>
      </c>
      <c r="Q41" s="11"/>
      <c r="R41" s="6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7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0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29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31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50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46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54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36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56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57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60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38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40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48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11</v>
      </c>
      <c r="H1" s="5" t="s">
        <v>12</v>
      </c>
      <c r="I1" s="1" t="s">
        <v>13</v>
      </c>
      <c r="K1" s="1" t="s">
        <v>15</v>
      </c>
    </row>
    <row r="2">
      <c r="A2" s="1">
        <v>1.0</v>
      </c>
      <c r="B2" s="10" t="s">
        <v>19</v>
      </c>
      <c r="C2" s="12">
        <v>139.0</v>
      </c>
      <c r="D2" s="1"/>
      <c r="E2" s="1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10" t="s">
        <v>22</v>
      </c>
      <c r="C3" s="12">
        <v>106.5</v>
      </c>
      <c r="D3" s="1"/>
      <c r="E3" s="1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10" t="s">
        <v>24</v>
      </c>
      <c r="C4" s="12">
        <v>93.0</v>
      </c>
      <c r="D4" s="1"/>
      <c r="E4" s="1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10" t="s">
        <v>26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28</v>
      </c>
      <c r="L5" s="18">
        <f>SUM($D$2:$D$500)
</f>
        <v>0</v>
      </c>
    </row>
    <row r="6">
      <c r="A6" s="1">
        <v>5.0</v>
      </c>
      <c r="B6" s="10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8">
        <f>L2-L5
</f>
        <v>1200</v>
      </c>
    </row>
    <row r="7">
      <c r="A7" s="1">
        <v>6.0</v>
      </c>
      <c r="B7" s="10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8">
        <f>SUMIF($E$2:$E$500,TRUE,$D$2:$D$500)</f>
        <v>0</v>
      </c>
    </row>
    <row r="8">
      <c r="A8" s="1">
        <v>7.0</v>
      </c>
      <c r="B8" s="10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2">
        <f>L4-L7
</f>
        <v>180</v>
      </c>
    </row>
    <row r="9">
      <c r="A9" s="1">
        <v>8.0</v>
      </c>
      <c r="B9" s="10" t="s">
        <v>36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37</v>
      </c>
      <c r="L9" s="12">
        <f>L6-L8
</f>
        <v>1020</v>
      </c>
    </row>
    <row r="10">
      <c r="A10" s="1">
        <v>9.0</v>
      </c>
      <c r="B10" s="10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2">
        <f>IF(L3&gt;1,L9/(L3-1),0)</f>
        <v>92.72727273</v>
      </c>
    </row>
    <row r="11">
      <c r="A11" s="1">
        <v>10.0</v>
      </c>
      <c r="B11" s="10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10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10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8">
        <f>SUMIF($D$2:$D$73,"",$C$2:$C$73)</f>
        <v>1200</v>
      </c>
    </row>
    <row r="14">
      <c r="A14" s="1">
        <v>13.0</v>
      </c>
      <c r="B14" s="10" t="s">
        <v>46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10" t="s">
        <v>48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10" t="s">
        <v>50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10" t="s">
        <v>52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10" t="s">
        <v>54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10" t="s">
        <v>56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10" t="s">
        <v>57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10" t="s">
        <v>58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10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10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10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10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10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10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10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10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10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10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10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10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10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10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10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10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10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10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10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10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10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10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10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10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10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10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10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10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10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10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10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10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10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10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10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10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10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10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10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10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10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10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10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10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10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10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10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10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10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10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10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