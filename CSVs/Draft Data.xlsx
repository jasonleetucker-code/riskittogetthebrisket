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<sst xmlns="http://schemas.openxmlformats.org/spreadsheetml/2006/main" count="312" uniqueCount="178">
  <si>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</si>
  <si>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</si>
  <si>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</si>
  <si>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</si>
  <si>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</si>
  <si>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</si>
  <si>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</si>
  <si>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</si>
  <si>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</si>
  <si>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</si>
  <si>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</si>
  <si>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</si>
  <si>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</si>
  <si>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</si>
  <si>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Floors</t>
  </si>
  <si>
    <t>Settings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</si>
  <si>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</si>
  <si>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</si>
  <si>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</si>
  <si>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</si>
  <si>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</si>
  <si>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</si>
  <si>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</si>
  <si>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</si>
  <si>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</si>
  <si>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</si>
  <si>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</si>
  <si>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</si>
  <si>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</si>
  <si>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</si>
  <si>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</si>
  <si>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</si>
  <si>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2</t>
  </si>
  <si>
    <t>My Spent</t>
  </si>
  <si>
    <t>Sonny Styles</t>
  </si>
  <si>
    <t>My Remaining</t>
  </si>
  <si>
    <t>KC Concepcion</t>
  </si>
  <si>
    <t>Other Teams Remaining</t>
  </si>
  <si>
    <t>Round 3</t>
  </si>
  <si>
    <t>Jadarian Price</t>
  </si>
  <si>
    <t>Avg $ per Other Team</t>
  </si>
  <si>
    <t>Eli Stowers</t>
  </si>
  <si>
    <t>Budget Advantage Factor</t>
  </si>
  <si>
    <t>Round 4</t>
  </si>
  <si>
    <t>Omar Cooper</t>
  </si>
  <si>
    <t>CJ Allen</t>
  </si>
  <si>
    <t>Round 5</t>
  </si>
  <si>
    <t>Undrafted Predraft$</t>
  </si>
  <si>
    <t>Arvell Reese</t>
  </si>
  <si>
    <t>Inflation Factor</t>
  </si>
  <si>
    <t>Ty Simpson</t>
  </si>
  <si>
    <t>Round 6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</si>
  <si>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</si>
  <si>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</si>
  <si>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</si>
  <si>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</si>
  <si>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</si>
  <si>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</si>
  <si>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</si>
  <si>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</si>
  <si>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</si>
  <si>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</si>
  <si>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</si>
  <si>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</si>
  <si>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</si>
  <si>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</si>
  <si>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</si>
  <si>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</si>
  <si>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</si>
  <si>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</si>
  <si>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</si>
  <si>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</si>
  <si>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</si>
  <si>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</si>
  <si>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</si>
  <si>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</si>
  <si>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</si>
  <si>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</si>
  <si>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</si>
  <si>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</si>
  <si>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</si>
  <si>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</si>
  <si>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</si>
  <si>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</si>
  <si>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</si>
  <si>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</si>
  <si>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</si>
  <si>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</si>
  <si>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</si>
  <si>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A.J. Haulcy</t>
  </si>
  <si>
    <t>Ed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</si>
  <si>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</si>
  <si>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</si>
  <si>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</si>
  <si>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</si>
  <si>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</si>
  <si>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</si>
  <si>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</si>
  <si>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Brent</t>
  </si>
  <si>
    <t>Malachi Lawrence</t>
  </si>
  <si>
    <t>Joey</t>
  </si>
  <si>
    <t>CJ Donaldson</t>
  </si>
  <si>
    <t>T.J. Parker</t>
  </si>
  <si>
    <t>Cashius Howell</t>
  </si>
  <si>
    <t>MaKayla</t>
  </si>
  <si>
    <t>Keldric Faulk</t>
  </si>
  <si>
    <t>Akheem Mesidor</t>
  </si>
  <si>
    <t>Ty</t>
  </si>
  <si>
    <t>Justin Joly</t>
  </si>
  <si>
    <t>Eli Raridon</t>
  </si>
  <si>
    <t>DJ Rogers</t>
  </si>
  <si>
    <t>Kich</t>
  </si>
  <si>
    <t>Lake McRee</t>
  </si>
  <si>
    <t>Cade Klubnik</t>
  </si>
  <si>
    <t>Drew Allar</t>
  </si>
  <si>
    <t>Eric</t>
  </si>
  <si>
    <t>Carson Beck</t>
  </si>
  <si>
    <t>Joe Royer</t>
  </si>
  <si>
    <t>Sam Roush</t>
  </si>
  <si>
    <t>Collin</t>
  </si>
  <si>
    <t>Tanner Koziol</t>
  </si>
  <si>
    <t>Jack Endries</t>
  </si>
  <si>
    <t>Roy</t>
  </si>
  <si>
    <t>Matthew Hibner</t>
  </si>
  <si>
    <t>Tyren Montgomery</t>
  </si>
  <si>
    <t>Jason</t>
  </si>
  <si>
    <t>Bryce Lance</t>
  </si>
  <si>
    <t>Kevin Coleman</t>
  </si>
  <si>
    <t>Blaine</t>
  </si>
  <si>
    <t>Garrett Nussmeier</t>
  </si>
  <si>
    <t>Nate Boerkircher</t>
  </si>
  <si>
    <t>Joel</t>
  </si>
  <si>
    <t>Will Kacmarek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</si>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</sst>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38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46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51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80</v>
      </c>
      <c r="P29" s="8" t="s">
        <v>81</v>
      </c>
      <c r="Q29" s="12"/>
      <c r="R29" s="8" t="s">
        <v>82</v>
      </c>
      <c r="S29" s="8" t="s">
        <v>83</v>
      </c>
      <c r="T29" s="8" t="s">
        <v>84</v>
      </c>
      <c r="U29" s="12"/>
      <c r="V29" s="8" t="s">
        <v>85</v>
      </c>
      <c r="W29" s="8" t="s">
        <v>86</v>
      </c>
      <c r="X29" s="8" t="s">
        <v>87</v>
      </c>
      <c r="Y29" s="8" t="s">
        <v>88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90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98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100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104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107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111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115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119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122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125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128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131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85</v>
      </c>
      <c r="P44" s="8" t="s">
        <v>20</v>
      </c>
      <c r="Q44" s="8" t="s">
        <v>134</v>
      </c>
      <c r="R44" s="8" t="s">
        <v>81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131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128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125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122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119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115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111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107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104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100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98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90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25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34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52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48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36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93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39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41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50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102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91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117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121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97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126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116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96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109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108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114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95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113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24</v>
      </c>
      <c r="L3" s="2">
        <v>12.0</v>
      </c>
    </row>
    <row r="4">
      <c r="A4" s="2">
        <v>3.0</v>
      </c>
      <c r="B4" s="9" t="s">
        <v>25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5">
        <f>'Draft Data'!U63</f>
        <v>180</v>
      </c>
    </row>
    <row r="5">
      <c r="A5" s="2">
        <v>4.0</v>
      </c>
      <c r="B5" s="9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33</v>
      </c>
      <c r="L7" s="18">
        <f>SUMIF($E$2:$E$500,TRUE,$D$2:$D$500)</f>
        <v>0</v>
      </c>
    </row>
    <row r="8">
      <c r="A8" s="2">
        <v>7.0</v>
      </c>
      <c r="B8" s="9" t="s">
        <v>34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35</v>
      </c>
      <c r="L8" s="10">
        <f>L4-L7
</f>
        <v>180</v>
      </c>
    </row>
    <row r="9">
      <c r="A9" s="2">
        <v>8.0</v>
      </c>
      <c r="B9" s="9" t="s">
        <v>36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0">
        <f>L6-L8
</f>
        <v>1020</v>
      </c>
    </row>
    <row r="10">
      <c r="A10" s="2">
        <v>9.0</v>
      </c>
      <c r="B10" s="9" t="s">
        <v>39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40</v>
      </c>
      <c r="L10" s="10">
        <f>IF(L3&gt;1,L9/(L3-1),0)</f>
        <v>92.72727273</v>
      </c>
    </row>
    <row r="11">
      <c r="A11" s="2">
        <v>10.0</v>
      </c>
      <c r="B11" s="9" t="s">
        <v>41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9" t="s">
        <v>44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45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47</v>
      </c>
      <c r="L13" s="18">
        <f>SUMIF($D$2:$D$73,"",$C$2:$C$73)</f>
        <v>1200</v>
      </c>
    </row>
    <row r="14">
      <c r="A14" s="2">
        <v>13.0</v>
      </c>
      <c r="B14" s="9" t="s">
        <v>48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49</v>
      </c>
      <c r="L14" s="19">
        <f>IF(L13&gt;0,L6/L13,1)</f>
        <v>1</v>
      </c>
    </row>
    <row r="15">
      <c r="A15" s="2">
        <v>14.0</v>
      </c>
      <c r="B15" s="9" t="s">
        <v>50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52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53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54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55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89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91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92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93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94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95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96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97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99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101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102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103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105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106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108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109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110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112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113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114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116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117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118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120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121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123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124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126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127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129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130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132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133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