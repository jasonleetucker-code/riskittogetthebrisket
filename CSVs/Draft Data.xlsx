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<sst xmlns="http://schemas.openxmlformats.org/spreadsheetml/2006/main" count="312" uniqueCount="178">
  <si>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</si>
  <si>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</si>
  <si>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</si>
  <si>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</si>
  <si>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</si>
  <si>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</si>
  <si>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</si>
  <si>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PLAYER NAME</t>
  </si>
  <si>
    <t>Fractions</t>
  </si>
  <si>
    <t>PreDraft$</t>
  </si>
  <si>
    <t>Final Price</t>
  </si>
  <si>
    <t>Monotone Rounded</t>
  </si>
  <si>
    <t>Mine?</t>
  </si>
  <si>
    <t>Final Dollar Per Pick</t>
  </si>
  <si>
    <t>Inflated Fair Price</t>
  </si>
  <si>
    <t>My Max Bid</t>
  </si>
  <si>
    <t>Pick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</si>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</sst>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7" t="s">
        <v>6</v>
      </c>
      <c r="J1" s="7" t="s">
        <v>8</v>
      </c>
      <c r="K1" s="7" t="s">
        <v>11</v>
      </c>
      <c r="L1" s="8" t="s">
        <v>13</v>
      </c>
      <c r="M1" s="4">
        <v>12.0</v>
      </c>
      <c r="N1" s="10"/>
      <c r="O1" s="7" t="s">
        <v>16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9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9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9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9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9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9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9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9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9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9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9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9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9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9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9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9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9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9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9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9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9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9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9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9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9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9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9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9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9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4">
        <v>1.0</v>
      </c>
      <c r="P30" s="7" t="s">
        <v>122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9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4">
        <v>2.0</v>
      </c>
      <c r="P31" s="7" t="s">
        <v>123</v>
      </c>
      <c r="Q31" s="10"/>
      <c r="R31" s="4">
        <v>11.0</v>
      </c>
      <c r="S31" s="10"/>
      <c r="T31" s="10" t="str">
        <f t="shared" si="16"/>
        <v>Brent</v>
      </c>
      <c r="U31" s="10"/>
      <c r="V31" s="5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9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4">
        <v>3.0</v>
      </c>
      <c r="P32" s="7" t="s">
        <v>124</v>
      </c>
      <c r="Q32" s="10"/>
      <c r="R32" s="4">
        <v>10.0</v>
      </c>
      <c r="S32" s="10"/>
      <c r="T32" s="10" t="str">
        <f t="shared" si="16"/>
        <v>Joey</v>
      </c>
      <c r="U32" s="10"/>
      <c r="V32" s="5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9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4">
        <v>4.0</v>
      </c>
      <c r="P33" s="7" t="s">
        <v>125</v>
      </c>
      <c r="Q33" s="10"/>
      <c r="R33" s="4">
        <v>9.0</v>
      </c>
      <c r="S33" s="10"/>
      <c r="T33" s="10" t="str">
        <f t="shared" si="16"/>
        <v>MaKayla</v>
      </c>
      <c r="U33" s="10"/>
      <c r="V33" s="5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9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4">
        <v>5.0</v>
      </c>
      <c r="P34" s="7" t="s">
        <v>126</v>
      </c>
      <c r="Q34" s="10"/>
      <c r="R34" s="4">
        <v>8.0</v>
      </c>
      <c r="S34" s="10"/>
      <c r="T34" s="10" t="str">
        <f t="shared" si="16"/>
        <v>Ty</v>
      </c>
      <c r="U34" s="10"/>
      <c r="V34" s="5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9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4">
        <v>6.0</v>
      </c>
      <c r="P35" s="7" t="s">
        <v>127</v>
      </c>
      <c r="Q35" s="10"/>
      <c r="R35" s="4">
        <v>7.0</v>
      </c>
      <c r="S35" s="10"/>
      <c r="T35" s="10" t="str">
        <f t="shared" si="16"/>
        <v>Kich</v>
      </c>
      <c r="U35" s="10"/>
      <c r="V35" s="5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9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4">
        <v>7.0</v>
      </c>
      <c r="P36" s="7" t="s">
        <v>128</v>
      </c>
      <c r="Q36" s="10"/>
      <c r="R36" s="4">
        <v>6.0</v>
      </c>
      <c r="S36" s="10"/>
      <c r="T36" s="10" t="str">
        <f t="shared" si="16"/>
        <v>Eric</v>
      </c>
      <c r="U36" s="10"/>
      <c r="V36" s="5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9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4">
        <v>8.0</v>
      </c>
      <c r="P37" s="7" t="s">
        <v>129</v>
      </c>
      <c r="Q37" s="10"/>
      <c r="R37" s="4">
        <v>5.0</v>
      </c>
      <c r="S37" s="10"/>
      <c r="T37" s="10" t="str">
        <f t="shared" si="16"/>
        <v>Collin</v>
      </c>
      <c r="U37" s="10"/>
      <c r="V37" s="5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9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4">
        <v>9.0</v>
      </c>
      <c r="P38" s="7" t="s">
        <v>130</v>
      </c>
      <c r="Q38" s="10"/>
      <c r="R38" s="4">
        <v>4.0</v>
      </c>
      <c r="S38" s="10"/>
      <c r="T38" s="10" t="str">
        <f t="shared" si="16"/>
        <v>Roy</v>
      </c>
      <c r="U38" s="10"/>
      <c r="V38" s="5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9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4">
        <v>10.0</v>
      </c>
      <c r="P39" s="7" t="s">
        <v>131</v>
      </c>
      <c r="Q39" s="10"/>
      <c r="R39" s="4">
        <v>3.0</v>
      </c>
      <c r="S39" s="10"/>
      <c r="T39" s="10" t="str">
        <f t="shared" si="16"/>
        <v>Jason</v>
      </c>
      <c r="U39" s="10"/>
      <c r="V39" s="5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9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4">
        <v>11.0</v>
      </c>
      <c r="P40" s="7" t="s">
        <v>132</v>
      </c>
      <c r="Q40" s="10"/>
      <c r="R40" s="4">
        <v>2.0</v>
      </c>
      <c r="S40" s="10"/>
      <c r="T40" s="10" t="str">
        <f t="shared" si="16"/>
        <v>Blaine</v>
      </c>
      <c r="U40" s="10"/>
      <c r="V40" s="5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9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4">
        <v>12.0</v>
      </c>
      <c r="P41" s="7" t="s">
        <v>133</v>
      </c>
      <c r="Q41" s="10"/>
      <c r="R41" s="4">
        <v>1.0</v>
      </c>
      <c r="S41" s="10"/>
      <c r="T41" s="10" t="str">
        <f t="shared" si="16"/>
        <v>Joel</v>
      </c>
      <c r="U41" s="10"/>
      <c r="V41" s="5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5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9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5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9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16</v>
      </c>
      <c r="Q44" s="7" t="s">
        <v>134</v>
      </c>
      <c r="R44" s="7" t="s">
        <v>114</v>
      </c>
      <c r="S44" s="10"/>
      <c r="T44" s="10"/>
      <c r="U44" s="10"/>
      <c r="V44" s="5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9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5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9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5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9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5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9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5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9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5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9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5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9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5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9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5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9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5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9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5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9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5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9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5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9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5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9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9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9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9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5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9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9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9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9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9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5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9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5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9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5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9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9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9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59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6" t="s">
        <v>5</v>
      </c>
      <c r="B1" s="6" t="s">
        <v>7</v>
      </c>
      <c r="C1" s="6" t="s">
        <v>9</v>
      </c>
      <c r="D1" s="6" t="s">
        <v>10</v>
      </c>
      <c r="E1" s="6" t="s">
        <v>12</v>
      </c>
      <c r="F1" s="9" t="s">
        <v>14</v>
      </c>
      <c r="G1" s="9" t="s">
        <v>15</v>
      </c>
      <c r="H1" s="9" t="s">
        <v>17</v>
      </c>
      <c r="I1" s="6" t="s">
        <v>18</v>
      </c>
      <c r="K1" s="6" t="s">
        <v>19</v>
      </c>
    </row>
    <row r="2">
      <c r="A2" s="6">
        <v>1.0</v>
      </c>
      <c r="B2" s="11" t="s">
        <v>20</v>
      </c>
      <c r="C2" s="12">
        <v>139.0</v>
      </c>
      <c r="D2" s="6"/>
      <c r="E2" s="6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6" t="s">
        <v>21</v>
      </c>
      <c r="L2" s="6">
        <v>1200.0</v>
      </c>
    </row>
    <row r="3">
      <c r="A3" s="6">
        <v>2.0</v>
      </c>
      <c r="B3" s="11" t="s">
        <v>22</v>
      </c>
      <c r="C3" s="12">
        <v>106.5</v>
      </c>
      <c r="D3" s="6"/>
      <c r="E3" s="6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6" t="s">
        <v>23</v>
      </c>
      <c r="L3" s="6">
        <v>12.0</v>
      </c>
    </row>
    <row r="4">
      <c r="A4" s="6">
        <v>3.0</v>
      </c>
      <c r="B4" s="11" t="s">
        <v>24</v>
      </c>
      <c r="C4" s="12">
        <v>93.0</v>
      </c>
      <c r="D4" s="6"/>
      <c r="E4" s="6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6" t="s">
        <v>25</v>
      </c>
      <c r="L4" s="9">
        <f>'Draft Data'!U63</f>
        <v>180</v>
      </c>
    </row>
    <row r="5">
      <c r="A5" s="6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6" t="s">
        <v>27</v>
      </c>
      <c r="L5" s="17">
        <f>SUM($D$2:$D$500)
</f>
        <v>0</v>
      </c>
    </row>
    <row r="6">
      <c r="A6" s="6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6" t="s">
        <v>30</v>
      </c>
      <c r="L6" s="17">
        <f>L2-L5
</f>
        <v>1200</v>
      </c>
    </row>
    <row r="7">
      <c r="A7" s="6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6" t="s">
        <v>32</v>
      </c>
      <c r="L7" s="17">
        <f>SUMIF($E$2:$E$500,TRUE,$D$2:$D$500)</f>
        <v>0</v>
      </c>
    </row>
    <row r="8">
      <c r="A8" s="6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6" t="s">
        <v>34</v>
      </c>
      <c r="L8" s="12">
        <f>L4-L7
</f>
        <v>180</v>
      </c>
    </row>
    <row r="9">
      <c r="A9" s="6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6" t="s">
        <v>36</v>
      </c>
      <c r="L9" s="12">
        <f>L6-L8
</f>
        <v>1020</v>
      </c>
    </row>
    <row r="10">
      <c r="A10" s="6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6" t="s">
        <v>38</v>
      </c>
      <c r="L10" s="12">
        <f>IF(L3&gt;1,L9/(L3-1),0)</f>
        <v>92.72727273</v>
      </c>
    </row>
    <row r="11">
      <c r="A11" s="6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6" t="s">
        <v>41</v>
      </c>
      <c r="L11" s="19">
        <f>IF(L10&gt;0,L8/L10,1)</f>
        <v>1.941176471</v>
      </c>
    </row>
    <row r="12">
      <c r="A12" s="6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6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6" t="s">
        <v>44</v>
      </c>
      <c r="L13" s="17">
        <f>SUMIF($D$2:$D$73,"",$C$2:$C$73)</f>
        <v>1200</v>
      </c>
    </row>
    <row r="14">
      <c r="A14" s="6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6" t="s">
        <v>46</v>
      </c>
      <c r="L14" s="19">
        <f>IF(L13&gt;0,L6/L13,1)</f>
        <v>1</v>
      </c>
    </row>
    <row r="15">
      <c r="A15" s="6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6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6" t="s">
        <v>50</v>
      </c>
      <c r="L16" s="6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6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6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6" t="s">
        <v>54</v>
      </c>
      <c r="L18" s="20">
        <f>L5/L2</f>
        <v>0</v>
      </c>
    </row>
    <row r="19">
      <c r="A19" s="6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6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6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6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6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6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6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6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6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6" t="s">
        <v>66</v>
      </c>
      <c r="L27" s="6">
        <v>0.8</v>
      </c>
    </row>
    <row r="28">
      <c r="A28" s="6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6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6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6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6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6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6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6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6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6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6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6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6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6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6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6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6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6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6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6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6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6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6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6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6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6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6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6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6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6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6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6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6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6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6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6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6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6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6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6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6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6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6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6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6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6">
        <v>72.0</v>
      </c>
      <c r="B73" s="6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