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<sst xmlns="http://schemas.openxmlformats.org/spreadsheetml/2006/main" count="312" uniqueCount="178">
  <si>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</si>
  <si>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</si>
  <si>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</si>
  <si>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</si>
  <si>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</si>
  <si>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</si>
  <si>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</si>
  <si>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</si>
  <si>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</si>
  <si>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</si>
  <si>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</si>
  <si>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</si>
  <si>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</si>
  <si>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</si>
  <si>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</si>
  <si>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</si>
  <si>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</si>
  <si>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</si>
  <si>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</si>
  <si>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</si>
  <si>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</si>
  <si>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</si>
  <si>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</si>
  <si>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</si>
  <si>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</si>
  <si>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</si>
  <si>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</si>
  <si>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</si>
  <si>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</si>
  <si>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</si>
  <si>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</si>
  <si>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</si>
  <si>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</si>
  <si>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</si>
  <si>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Round 2</t>
  </si>
  <si>
    <t>My Remaining</t>
  </si>
  <si>
    <t>KC Concepcion</t>
  </si>
  <si>
    <t>Other Teams Remaining</t>
  </si>
  <si>
    <t>Jadarian Price</t>
  </si>
  <si>
    <t>Avg $ per Other Team</t>
  </si>
  <si>
    <t>Round 3</t>
  </si>
  <si>
    <t>Eli Stowers</t>
  </si>
  <si>
    <t>Budget Advantage Factor</t>
  </si>
  <si>
    <t>Omar Cooper</t>
  </si>
  <si>
    <t>CJ Allen</t>
  </si>
  <si>
    <t>Round 4</t>
  </si>
  <si>
    <t>Undrafted Predraft$</t>
  </si>
  <si>
    <t>Arvell Reese</t>
  </si>
  <si>
    <t>Inflation Factor</t>
  </si>
  <si>
    <t>Ty Simpson</t>
  </si>
  <si>
    <t>Denzel Boston</t>
  </si>
  <si>
    <t>Round 5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</si>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</sst>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4" t="s">
        <v>7</v>
      </c>
      <c r="C1" s="5" t="s">
        <v>12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50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54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47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55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36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38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41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49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35</v>
      </c>
      <c r="L8" s="8">
        <f>L4-L7
</f>
        <v>180</v>
      </c>
    </row>
    <row r="9">
      <c r="A9" s="1">
        <v>8.0</v>
      </c>
      <c r="B9" s="6" t="s">
        <v>36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8">
        <f>L6-L8
</f>
        <v>1020</v>
      </c>
    </row>
    <row r="10">
      <c r="A10" s="1">
        <v>9.0</v>
      </c>
      <c r="B10" s="6" t="s">
        <v>38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8">
        <f>IF(L3&gt;1,L9/(L3-1),0)</f>
        <v>92.72727273</v>
      </c>
    </row>
    <row r="11">
      <c r="A11" s="1">
        <v>10.0</v>
      </c>
      <c r="B11" s="6" t="s">
        <v>41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42</v>
      </c>
      <c r="L11" s="19">
        <f>IF(L10&gt;0,L8/L10,1)</f>
        <v>1.941176471</v>
      </c>
    </row>
    <row r="12">
      <c r="A12" s="1">
        <v>11.0</v>
      </c>
      <c r="B12" s="6" t="s">
        <v>43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44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46</v>
      </c>
      <c r="L13" s="17">
        <f>SUMIF($D$2:$D$73,"",$C$2:$C$73)</f>
        <v>1200</v>
      </c>
    </row>
    <row r="14">
      <c r="A14" s="1">
        <v>13.0</v>
      </c>
      <c r="B14" s="6" t="s">
        <v>47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48</v>
      </c>
      <c r="L14" s="19">
        <f>IF(L13&gt;0,L6/L13,1)</f>
        <v>1</v>
      </c>
    </row>
    <row r="15">
      <c r="A15" s="1">
        <v>14.0</v>
      </c>
      <c r="B15" s="6" t="s">
        <v>49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50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52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54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55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6" t="s">
        <v>57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