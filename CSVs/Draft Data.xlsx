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<sst xmlns="http://schemas.openxmlformats.org/spreadsheetml/2006/main" count="312" uniqueCount="178">
  <si>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</si>
  <si>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</si>
  <si>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</si>
  <si>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</si>
  <si>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</si>
  <si>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Decay</t>
  </si>
  <si>
    <t>Final Price</t>
  </si>
  <si>
    <t>Mine?</t>
  </si>
  <si>
    <t>New Values</t>
  </si>
  <si>
    <t>Spine</t>
  </si>
  <si>
    <t>Inflated Fair Price</t>
  </si>
  <si>
    <t>My Max Bid</t>
  </si>
  <si>
    <t>EnforceUpTo</t>
  </si>
  <si>
    <t>Value vs Fair</t>
  </si>
  <si>
    <t>Floors</t>
  </si>
  <si>
    <t>Settings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</si>
  <si>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</si>
  <si>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</si>
  <si>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</si>
  <si>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</si>
  <si>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</si>
  <si>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</si>
  <si>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</si>
  <si>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</si>
  <si>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</si>
  <si>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</si>
  <si>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</si>
  <si>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Round 1</t>
  </si>
  <si>
    <t>Total Spent $</t>
  </si>
  <si>
    <t>Makai Lemon</t>
  </si>
  <si>
    <t>Remaining Leage $</t>
  </si>
  <si>
    <t>Kenyon Sadiq</t>
  </si>
  <si>
    <t>My Spent</t>
  </si>
  <si>
    <t>Sonny Styles</t>
  </si>
  <si>
    <t>My Remaining</t>
  </si>
  <si>
    <t>Round 2</t>
  </si>
  <si>
    <t>KC Concepcion</t>
  </si>
  <si>
    <t>Other Teams Remaining</t>
  </si>
  <si>
    <t>Jadarian Price</t>
  </si>
  <si>
    <t>Avg $ per Other Team</t>
  </si>
  <si>
    <t>Eli Stowers</t>
  </si>
  <si>
    <t>Round 3</t>
  </si>
  <si>
    <t>Budget Advantage Factor</t>
  </si>
  <si>
    <t>Omar Cooper</t>
  </si>
  <si>
    <t>CJ Allen</t>
  </si>
  <si>
    <t>Undrafted Predraft$</t>
  </si>
  <si>
    <t>Arvell Reese</t>
  </si>
  <si>
    <t>Round 4</t>
  </si>
  <si>
    <t>Inflation Factor</t>
  </si>
  <si>
    <t>Ty Simpson</t>
  </si>
  <si>
    <t>Denzel Boston</t>
  </si>
  <si>
    <t>Round 5</t>
  </si>
  <si>
    <t>Aggression</t>
  </si>
  <si>
    <t>Caleb Downs</t>
  </si>
  <si>
    <t>David Bailey</t>
  </si>
  <si>
    <t>Round 6</t>
  </si>
  <si>
    <t>League Spent %</t>
  </si>
  <si>
    <t>Jacob Rodriguez</t>
  </si>
  <si>
    <t>Jonah Coleman</t>
  </si>
  <si>
    <t>Jake Golday</t>
  </si>
  <si>
    <t>Dillon Thieneman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</si>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</sst>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5</v>
      </c>
      <c r="D1" s="4" t="s">
        <v>8</v>
      </c>
      <c r="E1" s="4" t="s">
        <v>9</v>
      </c>
      <c r="F1" s="6">
        <v>2025.0</v>
      </c>
      <c r="G1" s="6">
        <v>2024.0</v>
      </c>
      <c r="H1" s="7">
        <v>2026.0</v>
      </c>
      <c r="I1" s="8" t="s">
        <v>14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27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35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41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47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51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55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29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50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53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46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54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36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57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58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60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38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40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49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59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62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6</v>
      </c>
      <c r="E1" s="2" t="s">
        <v>7</v>
      </c>
      <c r="F1" s="5" t="s">
        <v>10</v>
      </c>
      <c r="G1" s="5" t="s">
        <v>11</v>
      </c>
      <c r="H1" s="5" t="s">
        <v>12</v>
      </c>
      <c r="I1" s="2" t="s">
        <v>13</v>
      </c>
      <c r="K1" s="2" t="s">
        <v>15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28</v>
      </c>
      <c r="L5" s="17">
        <f>SUM($D$2:$D$500)
</f>
        <v>0</v>
      </c>
    </row>
    <row r="6">
      <c r="A6" s="2">
        <v>5.0</v>
      </c>
      <c r="B6" s="9" t="s">
        <v>29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36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37</v>
      </c>
      <c r="L9" s="11">
        <f>L6-L8
</f>
        <v>1020</v>
      </c>
    </row>
    <row r="10">
      <c r="A10" s="2">
        <v>9.0</v>
      </c>
      <c r="B10" s="9" t="s">
        <v>38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39</v>
      </c>
      <c r="L10" s="11">
        <f>IF(L3&gt;1,L9/(L3-1),0)</f>
        <v>92.72727273</v>
      </c>
    </row>
    <row r="11">
      <c r="A11" s="2">
        <v>10.0</v>
      </c>
      <c r="B11" s="9" t="s">
        <v>40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42</v>
      </c>
      <c r="L11" s="19">
        <f>IF(L10&gt;0,L8/L10,1)</f>
        <v>1.941176471</v>
      </c>
    </row>
    <row r="12">
      <c r="A12" s="2">
        <v>11.0</v>
      </c>
      <c r="B12" s="9" t="s">
        <v>43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44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45</v>
      </c>
      <c r="L13" s="17">
        <f>SUMIF($D$2:$D$73,"",$C$2:$C$73)</f>
        <v>1200</v>
      </c>
    </row>
    <row r="14">
      <c r="A14" s="2">
        <v>13.0</v>
      </c>
      <c r="B14" s="9" t="s">
        <v>46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48</v>
      </c>
      <c r="L14" s="19">
        <f>IF(L13&gt;0,L6/L13,1)</f>
        <v>1</v>
      </c>
    </row>
    <row r="15">
      <c r="A15" s="2">
        <v>14.0</v>
      </c>
      <c r="B15" s="9" t="s">
        <v>49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50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52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53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54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56</v>
      </c>
      <c r="L18" s="20">
        <f>L5/L2</f>
        <v>0</v>
      </c>
    </row>
    <row r="19">
      <c r="A19" s="2">
        <v>18.0</v>
      </c>
      <c r="B19" s="9" t="s">
        <v>57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58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59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60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61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62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