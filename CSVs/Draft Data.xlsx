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<sst xmlns="http://schemas.openxmlformats.org/spreadsheetml/2006/main" count="312" uniqueCount="178">
  <si>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</si>
  <si>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</si>
  <si>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</si>
  <si>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</si>
  <si>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</si>
  <si>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</si>
  <si>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</si>
  <si>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</si>
  <si>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</si>
  <si>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</si>
  <si>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</si>
  <si>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</si>
  <si>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</si>
  <si>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</si>
  <si>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</si>
  <si>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</si>
  <si>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</si>
  <si>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</si>
  <si>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</si>
  <si>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</si>
  <si>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</si>
  <si>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</si>
  <si>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</si>
  <si>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</si>
  <si>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</si>
  <si>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</si>
  <si>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</si>
  <si>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</si>
  <si>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</si>
  <si>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</si>
  <si>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</si>
  <si>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</si>
  <si>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</si>
  <si>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</si>
  <si>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</si>
  <si>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</si>
  <si>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</si>
  <si>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</si>
  <si>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</si>
  <si>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</si>
  <si>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</si>
  <si>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</si>
  <si>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</si>
  <si>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1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</si>
  <si>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</si>
  <si>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</si>
  <si>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</si>
  <si>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</si>
  <si>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</si>
  <si>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</si>
  <si>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</si>
  <si>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Round 2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</si>
  <si>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</si>
  <si>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</si>
  <si>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</si>
  <si>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</si>
  <si>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</si>
  <si>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</si>
  <si>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</si>
  <si>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3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</si>
  <si>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</si>
  <si>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</si>
  <si>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</si>
  <si>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</si>
  <si>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</si>
  <si>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</si>
  <si>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</si>
  <si>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</si>
  <si>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4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</si>
  <si>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</si>
  <si>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</si>
  <si>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</si>
  <si>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</si>
  <si>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</si>
  <si>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</si>
  <si>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</si>
  <si>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</si>
  <si>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Round 5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</si>
  <si>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</si>
  <si>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</si>
  <si>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</si>
  <si>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</si>
  <si>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</si>
  <si>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</si>
  <si>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</si>
  <si>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Round 6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</si>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</sst>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1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4" numFmtId="1" xfId="0" applyAlignment="1" applyFont="1" applyNumberFormat="1">
      <alignment horizontal="right" vertical="bottom"/>
    </xf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9">
        <f t="shared" ref="L2:L74" si="7">D2</f>
        <v>134.5</v>
      </c>
      <c r="M2" s="12"/>
      <c r="N2" s="12"/>
      <c r="O2" s="9" t="s">
        <v>43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9">
        <f t="shared" si="7"/>
        <v>100.5</v>
      </c>
      <c r="M3" s="12"/>
      <c r="N3" s="12"/>
      <c r="O3" s="9" t="s">
        <v>51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9"/>
      <c r="AD3" s="9"/>
    </row>
    <row r="4">
      <c r="A4" s="13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9">
        <f t="shared" si="7"/>
        <v>93</v>
      </c>
      <c r="M4" s="12"/>
      <c r="N4" s="12"/>
      <c r="O4" s="9" t="s">
        <v>59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9"/>
      <c r="AD4" s="9"/>
    </row>
    <row r="5">
      <c r="A5" s="13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9">
        <f t="shared" si="7"/>
        <v>80.5</v>
      </c>
      <c r="M5" s="12"/>
      <c r="N5" s="12"/>
      <c r="O5" s="9" t="s">
        <v>68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9"/>
      <c r="AD5" s="9"/>
    </row>
    <row r="6">
      <c r="A6" s="13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9">
        <f t="shared" si="7"/>
        <v>75.5</v>
      </c>
      <c r="M6" s="12"/>
      <c r="N6" s="12"/>
      <c r="O6" s="9" t="s">
        <v>77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9"/>
      <c r="AD6" s="9"/>
    </row>
    <row r="7">
      <c r="A7" s="13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9">
        <f t="shared" si="7"/>
        <v>68.5</v>
      </c>
      <c r="M7" s="12"/>
      <c r="N7" s="12"/>
      <c r="O7" s="9" t="s">
        <v>85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9"/>
      <c r="AD7" s="9"/>
    </row>
    <row r="8">
      <c r="A8" s="13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9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9"/>
      <c r="AD8" s="9"/>
    </row>
    <row r="9">
      <c r="A9" s="13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9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9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9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9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9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9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9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9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9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9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9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9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9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9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9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9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9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9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9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9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9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9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9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9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9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9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9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9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9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9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9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9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9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9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9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9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9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9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9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9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9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9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9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9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9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9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9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9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9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9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9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9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9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9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9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9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9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9" t="s">
        <v>131</v>
      </c>
      <c r="U65" s="17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9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9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9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9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9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9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9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9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9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2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49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50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56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82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36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38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65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66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61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55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58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70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72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80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60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69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73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78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84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8" t="s">
        <v>26</v>
      </c>
      <c r="C5" s="10">
        <v>82.5</v>
      </c>
      <c r="E5" s="16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6">
        <f>SUM($D$2:$D$500)
</f>
        <v>0</v>
      </c>
    </row>
    <row r="6">
      <c r="A6" s="3">
        <v>5.0</v>
      </c>
      <c r="B6" s="8" t="s">
        <v>28</v>
      </c>
      <c r="C6" s="10">
        <v>76.0</v>
      </c>
      <c r="E6" s="16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6">
        <f>L2-L5
</f>
        <v>1200</v>
      </c>
    </row>
    <row r="7">
      <c r="A7" s="3">
        <v>6.0</v>
      </c>
      <c r="B7" s="8" t="s">
        <v>30</v>
      </c>
      <c r="C7" s="10">
        <v>66.5</v>
      </c>
      <c r="E7" s="16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6">
        <f>SUMIF($E$2:$E$500,TRUE,$D$2:$D$500)</f>
        <v>0</v>
      </c>
    </row>
    <row r="8">
      <c r="A8" s="3">
        <v>7.0</v>
      </c>
      <c r="B8" s="8" t="s">
        <v>32</v>
      </c>
      <c r="C8" s="10">
        <v>57.5</v>
      </c>
      <c r="E8" s="16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33</v>
      </c>
      <c r="L8" s="10">
        <f>L4-L7
</f>
        <v>180</v>
      </c>
    </row>
    <row r="9">
      <c r="A9" s="3">
        <v>8.0</v>
      </c>
      <c r="B9" s="8" t="s">
        <v>34</v>
      </c>
      <c r="C9" s="10">
        <v>53.0</v>
      </c>
      <c r="E9" s="16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35</v>
      </c>
      <c r="L9" s="10">
        <f>L6-L8
</f>
        <v>1020</v>
      </c>
    </row>
    <row r="10">
      <c r="A10" s="3">
        <v>9.0</v>
      </c>
      <c r="B10" s="8" t="s">
        <v>36</v>
      </c>
      <c r="C10" s="10">
        <v>48.0</v>
      </c>
      <c r="E10" s="16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37</v>
      </c>
      <c r="L10" s="10">
        <f>IF(L3&gt;1,L9/(L3-1),0)</f>
        <v>92.72727273</v>
      </c>
    </row>
    <row r="11">
      <c r="A11" s="3">
        <v>10.0</v>
      </c>
      <c r="B11" s="8" t="s">
        <v>38</v>
      </c>
      <c r="C11" s="10">
        <v>43.0</v>
      </c>
      <c r="E11" s="16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39</v>
      </c>
      <c r="L11" s="18">
        <f>IF(L10&gt;0,L8/L10,1)</f>
        <v>1.941176471</v>
      </c>
    </row>
    <row r="12">
      <c r="A12" s="3">
        <v>11.0</v>
      </c>
      <c r="B12" s="8" t="s">
        <v>40</v>
      </c>
      <c r="C12" s="10">
        <v>39.0</v>
      </c>
      <c r="E12" s="16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41</v>
      </c>
      <c r="C13" s="10">
        <v>34.0</v>
      </c>
      <c r="E13" s="16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42</v>
      </c>
      <c r="L13" s="16">
        <f>SUMIF($D$2:$D$73,"",$C$2:$C$73)</f>
        <v>1200</v>
      </c>
    </row>
    <row r="14">
      <c r="A14" s="3">
        <v>13.0</v>
      </c>
      <c r="B14" s="8" t="s">
        <v>44</v>
      </c>
      <c r="C14" s="10">
        <v>30.5</v>
      </c>
      <c r="E14" s="16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45</v>
      </c>
      <c r="L14" s="18">
        <f>IF(L13&gt;0,L6/L13,1)</f>
        <v>1</v>
      </c>
    </row>
    <row r="15">
      <c r="A15" s="3">
        <v>14.0</v>
      </c>
      <c r="B15" s="8" t="s">
        <v>46</v>
      </c>
      <c r="C15" s="10">
        <v>27.5</v>
      </c>
      <c r="E15" s="16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47</v>
      </c>
      <c r="C16" s="10">
        <v>25.5</v>
      </c>
      <c r="E16" s="16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48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49</v>
      </c>
      <c r="C17" s="10">
        <v>22.5</v>
      </c>
      <c r="E17" s="16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50</v>
      </c>
      <c r="C18" s="10">
        <v>20.0</v>
      </c>
      <c r="E18" s="16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52</v>
      </c>
      <c r="L18" s="20">
        <f>L5/L2</f>
        <v>0</v>
      </c>
    </row>
    <row r="19">
      <c r="A19" s="3">
        <v>18.0</v>
      </c>
      <c r="B19" s="8" t="s">
        <v>53</v>
      </c>
      <c r="C19" s="10">
        <v>18.5</v>
      </c>
      <c r="E19" s="16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54</v>
      </c>
      <c r="C20" s="10">
        <v>16.5</v>
      </c>
      <c r="E20" s="16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55</v>
      </c>
      <c r="C21" s="10">
        <v>14.5</v>
      </c>
      <c r="E21" s="16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56</v>
      </c>
      <c r="C22" s="10">
        <v>13.5</v>
      </c>
      <c r="E22" s="16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57</v>
      </c>
      <c r="C23" s="10">
        <v>12.0</v>
      </c>
      <c r="E23" s="16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58</v>
      </c>
      <c r="C24" s="10">
        <v>11.0</v>
      </c>
      <c r="E24" s="16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60</v>
      </c>
      <c r="C25" s="10">
        <v>10.0</v>
      </c>
      <c r="E25" s="16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61</v>
      </c>
      <c r="C26" s="10">
        <v>9.5</v>
      </c>
      <c r="E26" s="16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62</v>
      </c>
      <c r="C27" s="10">
        <v>8.5</v>
      </c>
      <c r="E27" s="16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63</v>
      </c>
      <c r="L27" s="3">
        <v>0.8</v>
      </c>
    </row>
    <row r="28">
      <c r="A28" s="3">
        <v>27.0</v>
      </c>
      <c r="B28" s="8" t="s">
        <v>64</v>
      </c>
      <c r="C28" s="10">
        <v>8.0</v>
      </c>
      <c r="E28" s="16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65</v>
      </c>
      <c r="C29" s="10">
        <v>7.0</v>
      </c>
      <c r="E29" s="16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66</v>
      </c>
      <c r="C30" s="10">
        <v>6.5</v>
      </c>
      <c r="E30" s="16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67</v>
      </c>
      <c r="C31" s="10">
        <v>6.0</v>
      </c>
      <c r="E31" s="16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69</v>
      </c>
      <c r="C32" s="10">
        <v>5.5</v>
      </c>
      <c r="E32" s="16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70</v>
      </c>
      <c r="C33" s="10">
        <v>5.0</v>
      </c>
      <c r="E33" s="16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71</v>
      </c>
      <c r="C34" s="10">
        <v>4.5</v>
      </c>
      <c r="E34" s="16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72</v>
      </c>
      <c r="C35" s="10">
        <v>4.5</v>
      </c>
      <c r="E35" s="16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73</v>
      </c>
      <c r="C36" s="10">
        <v>4.0</v>
      </c>
      <c r="E36" s="16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74</v>
      </c>
      <c r="C37" s="10">
        <v>4.0</v>
      </c>
      <c r="E37" s="16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75</v>
      </c>
      <c r="C38" s="10">
        <v>3.5</v>
      </c>
      <c r="E38" s="16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76</v>
      </c>
      <c r="C39" s="10">
        <v>3.5</v>
      </c>
      <c r="E39" s="16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78</v>
      </c>
      <c r="C40" s="10">
        <v>3.0</v>
      </c>
      <c r="E40" s="16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79</v>
      </c>
      <c r="C41" s="10">
        <v>3.0</v>
      </c>
      <c r="E41" s="16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80</v>
      </c>
      <c r="C42" s="10">
        <v>2.5</v>
      </c>
      <c r="E42" s="16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81</v>
      </c>
      <c r="C43" s="10">
        <v>2.5</v>
      </c>
      <c r="E43" s="16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82</v>
      </c>
      <c r="C44" s="10">
        <v>2.5</v>
      </c>
      <c r="E44" s="16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83</v>
      </c>
      <c r="C45" s="10">
        <v>2.5</v>
      </c>
      <c r="E45" s="16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84</v>
      </c>
      <c r="C46" s="10">
        <v>2.0</v>
      </c>
      <c r="E46" s="16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86</v>
      </c>
      <c r="C47" s="10">
        <v>2.0</v>
      </c>
      <c r="E47" s="16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87</v>
      </c>
      <c r="C48" s="10">
        <v>2.0</v>
      </c>
      <c r="E48" s="16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88</v>
      </c>
      <c r="C49" s="10">
        <v>2.0</v>
      </c>
      <c r="E49" s="16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89</v>
      </c>
      <c r="C50" s="10">
        <v>2.0</v>
      </c>
      <c r="E50" s="16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90</v>
      </c>
      <c r="C51" s="10">
        <v>2.0</v>
      </c>
      <c r="E51" s="16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91</v>
      </c>
      <c r="C52" s="10">
        <v>2.0</v>
      </c>
      <c r="E52" s="16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92</v>
      </c>
      <c r="C53" s="10">
        <v>2.0</v>
      </c>
      <c r="E53" s="16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93</v>
      </c>
      <c r="C54" s="10">
        <v>2.0</v>
      </c>
      <c r="E54" s="16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94</v>
      </c>
      <c r="C55" s="10">
        <v>2.0</v>
      </c>
      <c r="E55" s="16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95</v>
      </c>
      <c r="C56" s="10">
        <v>2.0</v>
      </c>
      <c r="E56" s="16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96</v>
      </c>
      <c r="C57" s="10">
        <v>2.0</v>
      </c>
      <c r="E57" s="16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97</v>
      </c>
      <c r="C58" s="10">
        <v>2.0</v>
      </c>
      <c r="E58" s="16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98</v>
      </c>
      <c r="C59" s="10">
        <v>2.0</v>
      </c>
      <c r="E59" s="16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99</v>
      </c>
      <c r="C60" s="10">
        <v>2.0</v>
      </c>
      <c r="E60" s="16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100</v>
      </c>
      <c r="C61" s="10">
        <v>2.0</v>
      </c>
      <c r="E61" s="16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101</v>
      </c>
      <c r="C62" s="10">
        <v>1.0</v>
      </c>
      <c r="E62" s="16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102</v>
      </c>
      <c r="C63" s="10">
        <v>1.0</v>
      </c>
      <c r="E63" s="16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103</v>
      </c>
      <c r="C64" s="10">
        <v>1.0</v>
      </c>
      <c r="E64" s="16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104</v>
      </c>
      <c r="C65" s="10">
        <v>1.0</v>
      </c>
      <c r="E65" s="16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105</v>
      </c>
      <c r="C66" s="10">
        <v>1.0</v>
      </c>
      <c r="E66" s="16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106</v>
      </c>
      <c r="C67" s="10">
        <v>1.0</v>
      </c>
      <c r="E67" s="16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107</v>
      </c>
      <c r="C68" s="10">
        <v>1.0</v>
      </c>
      <c r="E68" s="16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108</v>
      </c>
      <c r="C69" s="10">
        <v>1.0</v>
      </c>
      <c r="E69" s="16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109</v>
      </c>
      <c r="C70" s="10">
        <v>1.0</v>
      </c>
      <c r="E70" s="16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110</v>
      </c>
      <c r="C71" s="10">
        <v>1.0</v>
      </c>
      <c r="E71" s="16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111</v>
      </c>
      <c r="C72" s="10">
        <v>1.0</v>
      </c>
      <c r="E72" s="16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6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