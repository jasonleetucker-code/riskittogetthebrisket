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<sst xmlns="http://schemas.openxmlformats.org/spreadsheetml/2006/main" count="312" uniqueCount="178">
  <si>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</si>
  <si>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</si>
  <si>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</si>
  <si>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</si>
  <si>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</si>
  <si>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</si>
  <si>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</si>
  <si>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Rank</t>
  </si>
  <si>
    <t>Monotone Rounded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</si>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</sst>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8</v>
      </c>
      <c r="L1" s="8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40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6" t="s">
        <v>46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6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6" t="s">
        <v>54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6" t="s">
        <v>60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6" t="s">
        <v>118</v>
      </c>
      <c r="P44" s="6" t="s">
        <v>13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7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52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56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57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7</v>
      </c>
      <c r="B1" s="7" t="s">
        <v>10</v>
      </c>
      <c r="C1" s="7" t="s">
        <v>11</v>
      </c>
      <c r="D1" s="7" t="s">
        <v>12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28</v>
      </c>
      <c r="L5" s="18">
        <f>SUM($D$2:$D$500)
</f>
        <v>0</v>
      </c>
    </row>
    <row r="6">
      <c r="A6" s="7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8">
        <f>L2-L5
</f>
        <v>1200</v>
      </c>
    </row>
    <row r="7">
      <c r="A7" s="7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32</v>
      </c>
      <c r="L7" s="18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41</v>
      </c>
      <c r="L11" s="19">
        <f>IF(L10&gt;0,L8/L10,1)</f>
        <v>1.941176471</v>
      </c>
    </row>
    <row r="12">
      <c r="A12" s="7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44</v>
      </c>
      <c r="L13" s="18">
        <f>SUMIF($D$2:$D$73,"",$C$2:$C$73)</f>
        <v>1200</v>
      </c>
    </row>
    <row r="14">
      <c r="A14" s="7">
        <v>13.0</v>
      </c>
      <c r="B14" s="11" t="s">
        <v>45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47</v>
      </c>
      <c r="L14" s="19">
        <f>IF(L13&gt;0,L6/L13,1)</f>
        <v>1</v>
      </c>
    </row>
    <row r="15">
      <c r="A15" s="7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49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50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53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55</v>
      </c>
      <c r="L18" s="20">
        <f>L5/L2</f>
        <v>0</v>
      </c>
    </row>
    <row r="19">
      <c r="A19" s="7">
        <v>18.0</v>
      </c>
      <c r="B19" s="11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57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58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59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