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<sst xmlns="http://schemas.openxmlformats.org/spreadsheetml/2006/main" count="312" uniqueCount="178">
  <si>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</si>
  <si>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</si>
  <si>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</si>
  <si>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</si>
  <si>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</si>
  <si>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New Values</t>
  </si>
  <si>
    <t>Spine</t>
  </si>
  <si>
    <t>PreDraft$</t>
  </si>
  <si>
    <t>Final Price</t>
  </si>
  <si>
    <t>Floors</t>
  </si>
  <si>
    <t>Mine?</t>
  </si>
  <si>
    <t>Fractions</t>
  </si>
  <si>
    <t>Inflated Fair Price</t>
  </si>
  <si>
    <t>Monotone Rounded</t>
  </si>
  <si>
    <t>Final Dollar Per Pick</t>
  </si>
  <si>
    <t>My Max Bid</t>
  </si>
  <si>
    <t>EnforceUpTo</t>
  </si>
  <si>
    <t>Value vs Fair</t>
  </si>
  <si>
    <t>Pick</t>
  </si>
  <si>
    <t>Settings</t>
  </si>
  <si>
    <t>Jeremiyah Love</t>
  </si>
  <si>
    <t>Round 1</t>
  </si>
  <si>
    <t>Total Auction $</t>
  </si>
  <si>
    <t>Carnell Tate</t>
  </si>
  <si>
    <t># of Teams</t>
  </si>
  <si>
    <t>Fernando Mendoza</t>
  </si>
  <si>
    <t>My Starting $</t>
  </si>
  <si>
    <t>Round 2</t>
  </si>
  <si>
    <t>Jordyn Tyson</t>
  </si>
  <si>
    <t>Total Spent $</t>
  </si>
  <si>
    <t>Makai Lemon</t>
  </si>
  <si>
    <t>Remaining Leage $</t>
  </si>
  <si>
    <t>Round 3</t>
  </si>
  <si>
    <t>Kenyon Sadiq</t>
  </si>
  <si>
    <t>My Spent</t>
  </si>
  <si>
    <t>Sonny Styles</t>
  </si>
  <si>
    <t>My Remaining</t>
  </si>
  <si>
    <t>KC Concepcion</t>
  </si>
  <si>
    <t>Round 4</t>
  </si>
  <si>
    <t>Other Teams Remaining</t>
  </si>
  <si>
    <t>Jadarian Price</t>
  </si>
  <si>
    <t>Avg $ per Other Team</t>
  </si>
  <si>
    <t>Eli Stowers</t>
  </si>
  <si>
    <t>Round 5</t>
  </si>
  <si>
    <t>Budget Advantage Factor</t>
  </si>
  <si>
    <t>Omar Cooper</t>
  </si>
  <si>
    <t>CJ Allen</t>
  </si>
  <si>
    <t>Round 6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</si>
  <si>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</si>
  <si>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</si>
  <si>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</si>
  <si>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</si>
  <si>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</si>
  <si>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</si>
  <si>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</si>
  <si>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</si>
  <si>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</si>
  <si>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</si>
  <si>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</si>
  <si>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</si>
  <si>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</si>
  <si>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</si>
  <si>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</si>
  <si>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</si>
  <si>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</si>
  <si>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</si>
  <si>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</si>
  <si>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</si>
  <si>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</si>
  <si>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</si>
  <si>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</si>
  <si>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</si>
  <si>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</si>
  <si>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</si>
  <si>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</si>
  <si>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</si>
  <si>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</si>
  <si>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</si>
  <si>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</si>
  <si>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</si>
  <si>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</si>
  <si>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</si>
  <si>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</si>
  <si>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</si>
  <si>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</si>
  <si>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</si>
  <si>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</si>
  <si>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</si>
  <si>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</si>
  <si>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</si>
  <si>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</si>
  <si>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</si>
  <si>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</si>
  <si>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</si>
  <si>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</si>
  <si>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</si>
  <si>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</si>
  <si>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</si>
  <si>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</si>
  <si>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</si>
  <si>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Standings</t>
  </si>
  <si>
    <t>Owner</t>
  </si>
  <si>
    <t>Pick #</t>
  </si>
  <si>
    <t>Override Owner</t>
  </si>
  <si>
    <t>Carson Beck</t>
  </si>
  <si>
    <t>Owner (Final)</t>
  </si>
  <si>
    <t>Round</t>
  </si>
  <si>
    <t>Original Owner</t>
  </si>
  <si>
    <t>New Owner</t>
  </si>
  <si>
    <t>Key</t>
  </si>
  <si>
    <t>Joe Royer</t>
  </si>
  <si>
    <t>Sam Roush</t>
  </si>
  <si>
    <t>Ed</t>
  </si>
  <si>
    <t>Tanner Koziol</t>
  </si>
  <si>
    <t>Jack Endries</t>
  </si>
  <si>
    <t>Matthew Hibner</t>
  </si>
  <si>
    <t>Tyren Montgomery</t>
  </si>
  <si>
    <t>Bryce Lance</t>
  </si>
  <si>
    <t>Kevin Coleman</t>
  </si>
  <si>
    <t>Brent</t>
  </si>
  <si>
    <t>Garrett Nussmeier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</si>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</sst>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2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5</v>
      </c>
      <c r="E1" s="4" t="s">
        <v>6</v>
      </c>
      <c r="F1" s="5">
        <v>2025.0</v>
      </c>
      <c r="G1" s="5">
        <v>2024.0</v>
      </c>
      <c r="H1" s="6">
        <v>2026.0</v>
      </c>
      <c r="I1" s="7" t="s">
        <v>9</v>
      </c>
      <c r="J1" s="7" t="s">
        <v>11</v>
      </c>
      <c r="K1" s="7" t="s">
        <v>13</v>
      </c>
      <c r="L1" s="9" t="s">
        <v>14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6">
        <f t="shared" ref="L2:L74" si="7">D2</f>
        <v>134.5</v>
      </c>
      <c r="M2" s="10"/>
      <c r="N2" s="10"/>
      <c r="O2" s="7" t="s">
        <v>21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10"/>
      <c r="N3" s="10"/>
      <c r="O3" s="7" t="s">
        <v>27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6">
        <f t="shared" si="7"/>
        <v>93</v>
      </c>
      <c r="M4" s="10"/>
      <c r="N4" s="10"/>
      <c r="O4" s="7" t="s">
        <v>32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6">
        <f t="shared" si="7"/>
        <v>80.5</v>
      </c>
      <c r="M5" s="10"/>
      <c r="N5" s="10"/>
      <c r="O5" s="7" t="s">
        <v>38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6">
        <f t="shared" si="7"/>
        <v>75.5</v>
      </c>
      <c r="M6" s="10"/>
      <c r="N6" s="10"/>
      <c r="O6" s="7" t="s">
        <v>43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6">
        <f t="shared" si="7"/>
        <v>68.5</v>
      </c>
      <c r="M7" s="10"/>
      <c r="N7" s="10"/>
      <c r="O7" s="7" t="s">
        <v>47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6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6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6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6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6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6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6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6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6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6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6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6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6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6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6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6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6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6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6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6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6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6">
        <f t="shared" si="7"/>
        <v>7</v>
      </c>
      <c r="M29" s="10"/>
      <c r="N29" s="10"/>
      <c r="O29" s="7" t="s">
        <v>100</v>
      </c>
      <c r="P29" s="7" t="s">
        <v>101</v>
      </c>
      <c r="Q29" s="10"/>
      <c r="R29" s="7" t="s">
        <v>102</v>
      </c>
      <c r="S29" s="7" t="s">
        <v>103</v>
      </c>
      <c r="T29" s="7" t="s">
        <v>105</v>
      </c>
      <c r="U29" s="10"/>
      <c r="V29" s="7" t="s">
        <v>106</v>
      </c>
      <c r="W29" s="7" t="s">
        <v>107</v>
      </c>
      <c r="X29" s="7" t="s">
        <v>108</v>
      </c>
      <c r="Y29" s="7" t="s">
        <v>109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6">
        <f t="shared" si="7"/>
        <v>6.5</v>
      </c>
      <c r="M30" s="10"/>
      <c r="N30" s="10"/>
      <c r="O30" s="5">
        <v>1.0</v>
      </c>
      <c r="P30" s="7" t="s">
        <v>112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6">
        <f t="shared" si="7"/>
        <v>6.5</v>
      </c>
      <c r="M31" s="10"/>
      <c r="N31" s="10"/>
      <c r="O31" s="5">
        <v>2.0</v>
      </c>
      <c r="P31" s="7" t="s">
        <v>119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6">
        <f t="shared" si="7"/>
        <v>5.5</v>
      </c>
      <c r="M32" s="10"/>
      <c r="N32" s="10"/>
      <c r="O32" s="5">
        <v>3.0</v>
      </c>
      <c r="P32" s="7" t="s">
        <v>123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6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6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6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6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6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6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6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6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6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6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6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6">
        <f t="shared" si="7"/>
        <v>2.5</v>
      </c>
      <c r="M44" s="10"/>
      <c r="N44" s="10"/>
      <c r="O44" s="7" t="s">
        <v>106</v>
      </c>
      <c r="P44" s="7" t="s">
        <v>18</v>
      </c>
      <c r="Q44" s="7" t="s">
        <v>134</v>
      </c>
      <c r="R44" s="7" t="s">
        <v>101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6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6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6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6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6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6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6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6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6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6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6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6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6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6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6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6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6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6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6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6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6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6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6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6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6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6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6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6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123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6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119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6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112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7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7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7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7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7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7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7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7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7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7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7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7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7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7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7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7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7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7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7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7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7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7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7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7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23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30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28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35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33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52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49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37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40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42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51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110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120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104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7</v>
      </c>
      <c r="D1" s="2" t="s">
        <v>8</v>
      </c>
      <c r="E1" s="2" t="s">
        <v>10</v>
      </c>
      <c r="F1" s="8" t="s">
        <v>12</v>
      </c>
      <c r="G1" s="8" t="s">
        <v>15</v>
      </c>
      <c r="H1" s="8" t="s">
        <v>16</v>
      </c>
      <c r="I1" s="2" t="s">
        <v>17</v>
      </c>
      <c r="K1" s="2" t="s">
        <v>19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22</v>
      </c>
      <c r="L2" s="2">
        <v>1200.0</v>
      </c>
    </row>
    <row r="3">
      <c r="A3" s="2">
        <v>2.0</v>
      </c>
      <c r="B3" s="11" t="s">
        <v>23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11" t="s">
        <v>25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7" t="str">
        <f t="shared" si="4"/>
        <v/>
      </c>
      <c r="K4" s="2" t="s">
        <v>26</v>
      </c>
      <c r="L4" s="8">
        <f>'Draft Data'!U63</f>
        <v>180</v>
      </c>
    </row>
    <row r="5">
      <c r="A5" s="2">
        <v>4.0</v>
      </c>
      <c r="B5" s="11" t="s">
        <v>28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7" t="str">
        <f t="shared" si="4"/>
        <v/>
      </c>
      <c r="K5" s="2" t="s">
        <v>29</v>
      </c>
      <c r="L5" s="18">
        <f>SUM($D$2:$D$500)
</f>
        <v>0</v>
      </c>
    </row>
    <row r="6">
      <c r="A6" s="2">
        <v>5.0</v>
      </c>
      <c r="B6" s="11" t="s">
        <v>30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7" t="str">
        <f t="shared" si="4"/>
        <v/>
      </c>
      <c r="K6" s="2" t="s">
        <v>31</v>
      </c>
      <c r="L6" s="18">
        <f>L2-L5
</f>
        <v>1200</v>
      </c>
    </row>
    <row r="7">
      <c r="A7" s="2">
        <v>6.0</v>
      </c>
      <c r="B7" s="11" t="s">
        <v>33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7" t="str">
        <f t="shared" si="4"/>
        <v/>
      </c>
      <c r="K7" s="2" t="s">
        <v>34</v>
      </c>
      <c r="L7" s="18">
        <f>SUMIF($E$2:$E$500,TRUE,$D$2:$D$500)</f>
        <v>0</v>
      </c>
    </row>
    <row r="8">
      <c r="A8" s="2">
        <v>7.0</v>
      </c>
      <c r="B8" s="11" t="s">
        <v>35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7" t="str">
        <f t="shared" si="4"/>
        <v/>
      </c>
      <c r="K8" s="2" t="s">
        <v>36</v>
      </c>
      <c r="L8" s="12">
        <f>L4-L7
</f>
        <v>180</v>
      </c>
    </row>
    <row r="9">
      <c r="A9" s="2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7" t="str">
        <f t="shared" si="4"/>
        <v/>
      </c>
      <c r="K9" s="2" t="s">
        <v>39</v>
      </c>
      <c r="L9" s="12">
        <f>L6-L8
</f>
        <v>1020</v>
      </c>
    </row>
    <row r="10">
      <c r="A10" s="2">
        <v>9.0</v>
      </c>
      <c r="B10" s="11" t="s">
        <v>40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7" t="str">
        <f t="shared" si="4"/>
        <v/>
      </c>
      <c r="K10" s="2" t="s">
        <v>41</v>
      </c>
      <c r="L10" s="12">
        <f>IF(L3&gt;1,L9/(L3-1),0)</f>
        <v>92.72727273</v>
      </c>
    </row>
    <row r="11">
      <c r="A11" s="2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7" t="str">
        <f t="shared" si="4"/>
        <v/>
      </c>
      <c r="K11" s="2" t="s">
        <v>44</v>
      </c>
      <c r="L11" s="19">
        <f>IF(L10&gt;0,L8/L10,1)</f>
        <v>1.941176471</v>
      </c>
    </row>
    <row r="12">
      <c r="A12" s="2">
        <v>11.0</v>
      </c>
      <c r="B12" s="11" t="s">
        <v>45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7" t="str">
        <f t="shared" si="4"/>
        <v/>
      </c>
    </row>
    <row r="13">
      <c r="A13" s="2">
        <v>12.0</v>
      </c>
      <c r="B13" s="11" t="s">
        <v>46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7" t="str">
        <f t="shared" si="4"/>
        <v/>
      </c>
      <c r="K13" s="2" t="s">
        <v>48</v>
      </c>
      <c r="L13" s="18">
        <f>SUMIF($D$2:$D$73,"",$C$2:$C$73)</f>
        <v>1200</v>
      </c>
    </row>
    <row r="14">
      <c r="A14" s="2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7" t="str">
        <f t="shared" si="4"/>
        <v/>
      </c>
      <c r="K14" s="2" t="s">
        <v>50</v>
      </c>
      <c r="L14" s="19">
        <f>IF(L13&gt;0,L6/L13,1)</f>
        <v>1</v>
      </c>
    </row>
    <row r="15">
      <c r="A15" s="2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7" t="str">
        <f t="shared" si="4"/>
        <v/>
      </c>
    </row>
    <row r="16">
      <c r="A16" s="2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7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7" t="str">
        <f t="shared" si="4"/>
        <v/>
      </c>
    </row>
    <row r="18">
      <c r="A18" s="2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7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7" t="str">
        <f t="shared" si="4"/>
        <v/>
      </c>
    </row>
    <row r="20">
      <c r="A20" s="2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7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7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7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7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7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7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7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7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7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7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7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7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7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7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7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7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7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7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7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7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7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7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7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7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7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7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7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7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7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7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7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7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7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7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7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7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7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7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7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7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7" t="str">
        <f t="shared" si="4"/>
        <v/>
      </c>
    </row>
    <row r="61">
      <c r="A61" s="2">
        <v>60.0</v>
      </c>
      <c r="B61" s="11" t="s">
        <v>104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7" t="str">
        <f t="shared" si="4"/>
        <v/>
      </c>
    </row>
    <row r="62">
      <c r="A62" s="2">
        <v>61.0</v>
      </c>
      <c r="B62" s="11" t="s">
        <v>110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7" t="str">
        <f t="shared" si="4"/>
        <v/>
      </c>
    </row>
    <row r="63">
      <c r="A63" s="2">
        <v>62.0</v>
      </c>
      <c r="B63" s="11" t="s">
        <v>111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7" t="str">
        <f t="shared" si="4"/>
        <v/>
      </c>
    </row>
    <row r="64">
      <c r="A64" s="2">
        <v>63.0</v>
      </c>
      <c r="B64" s="11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7" t="str">
        <f t="shared" si="4"/>
        <v/>
      </c>
    </row>
    <row r="65">
      <c r="A65" s="2">
        <v>64.0</v>
      </c>
      <c r="B65" s="11" t="s">
        <v>114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7" t="str">
        <f t="shared" si="4"/>
        <v/>
      </c>
    </row>
    <row r="66">
      <c r="A66" s="2">
        <v>65.0</v>
      </c>
      <c r="B66" s="11" t="s">
        <v>115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7" t="str">
        <f t="shared" si="4"/>
        <v/>
      </c>
    </row>
    <row r="67">
      <c r="A67" s="2">
        <v>66.0</v>
      </c>
      <c r="B67" s="11" t="s">
        <v>116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7" t="str">
        <f t="shared" si="4"/>
        <v/>
      </c>
    </row>
    <row r="68">
      <c r="A68" s="2">
        <v>67.0</v>
      </c>
      <c r="B68" s="11" t="s">
        <v>117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7" t="str">
        <f t="shared" si="4"/>
        <v/>
      </c>
    </row>
    <row r="69">
      <c r="A69" s="2">
        <v>68.0</v>
      </c>
      <c r="B69" s="11" t="s">
        <v>118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7" t="str">
        <f t="shared" si="4"/>
        <v/>
      </c>
    </row>
    <row r="70">
      <c r="A70" s="2">
        <v>69.0</v>
      </c>
      <c r="B70" s="11" t="s">
        <v>120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7" t="str">
        <f t="shared" si="4"/>
        <v/>
      </c>
    </row>
    <row r="71">
      <c r="A71" s="2">
        <v>70.0</v>
      </c>
      <c r="B71" s="11" t="s">
        <v>121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7" t="str">
        <f t="shared" si="4"/>
        <v/>
      </c>
    </row>
    <row r="72">
      <c r="A72" s="2">
        <v>71.0</v>
      </c>
      <c r="B72" s="11" t="s">
        <v>122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7" t="str">
        <f t="shared" si="4"/>
        <v/>
      </c>
    </row>
    <row r="73">
      <c r="A73" s="2">
        <v>72.0</v>
      </c>
      <c r="B73" s="2" t="s">
        <v>124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7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