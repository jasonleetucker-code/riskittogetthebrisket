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<sst xmlns="http://schemas.openxmlformats.org/spreadsheetml/2006/main" count="312" uniqueCount="178">
  <si>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</si>
  <si>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</si>
  <si>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</si>
  <si>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</si>
  <si>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</si>
  <si>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</si>
  <si>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</si>
  <si>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</si>
  <si>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</si>
  <si>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</si>
  <si>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</si>
  <si>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</si>
  <si>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</si>
  <si>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</si>
  <si>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</si>
  <si>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</si>
  <si>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</si>
  <si>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</si>
  <si>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</si>
  <si>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</si>
  <si>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</si>
  <si>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Round 1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</si>
  <si>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</si>
  <si>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</si>
  <si>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</si>
  <si>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</si>
  <si>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</si>
  <si>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</si>
  <si>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</si>
  <si>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</si>
  <si>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2</t>
  </si>
  <si>
    <t>Remaining Leage $</t>
  </si>
  <si>
    <t>Kenyon Sadiq</t>
  </si>
  <si>
    <t>My Spent</t>
  </si>
  <si>
    <t>Sonny Styles</t>
  </si>
  <si>
    <t>My Remaining</t>
  </si>
  <si>
    <t>Round 3</t>
  </si>
  <si>
    <t>KC Concepcion</t>
  </si>
  <si>
    <t>Other Teams Remaining</t>
  </si>
  <si>
    <t>Jadarian Price</t>
  </si>
  <si>
    <t>Avg $ per Other Team</t>
  </si>
  <si>
    <t>Eli Stowers</t>
  </si>
  <si>
    <t>Round 4</t>
  </si>
  <si>
    <t>Budget Advantage Factor</t>
  </si>
  <si>
    <t>Omar Cooper</t>
  </si>
  <si>
    <t>CJ Allen</t>
  </si>
  <si>
    <t>Undrafted Predraft$</t>
  </si>
  <si>
    <t>Round 5</t>
  </si>
  <si>
    <t>Arvell Reese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</si>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</sst>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6">
        <f t="shared" ref="L2:L74" si="7">D2</f>
        <v>134.5</v>
      </c>
      <c r="M2" s="8"/>
      <c r="N2" s="8"/>
      <c r="O2" s="6" t="s">
        <v>21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8"/>
      <c r="N3" s="8"/>
      <c r="O3" s="6" t="s">
        <v>30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9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6">
        <f t="shared" si="7"/>
        <v>93</v>
      </c>
      <c r="M4" s="8"/>
      <c r="N4" s="8"/>
      <c r="O4" s="6" t="s">
        <v>36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9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6">
        <f t="shared" si="7"/>
        <v>80.5</v>
      </c>
      <c r="M5" s="8"/>
      <c r="N5" s="8"/>
      <c r="O5" s="6" t="s">
        <v>42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9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6">
        <f t="shared" si="7"/>
        <v>75.5</v>
      </c>
      <c r="M6" s="8"/>
      <c r="N6" s="8"/>
      <c r="O6" s="6" t="s">
        <v>47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9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6">
        <f t="shared" si="7"/>
        <v>68.5</v>
      </c>
      <c r="M7" s="8"/>
      <c r="N7" s="8"/>
      <c r="O7" s="6" t="s">
        <v>53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9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6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9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6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6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6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6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6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6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6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6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6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6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6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6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6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6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6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6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6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6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6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6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6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6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6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6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6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6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6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6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6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6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6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6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6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6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6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6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6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6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6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6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6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6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6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6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6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6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6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6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6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6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6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6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6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6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6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6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6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6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6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6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6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6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6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6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6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6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23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34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32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51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48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37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39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41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50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22</v>
      </c>
      <c r="L2" s="11">
        <v>1200.0</v>
      </c>
    </row>
    <row r="3">
      <c r="A3" s="11">
        <v>2.0</v>
      </c>
      <c r="B3" s="12" t="s">
        <v>23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1" t="s">
        <v>24</v>
      </c>
      <c r="L3" s="11">
        <v>12.0</v>
      </c>
    </row>
    <row r="4">
      <c r="A4" s="11">
        <v>3.0</v>
      </c>
      <c r="B4" s="12" t="s">
        <v>25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7" t="str">
        <f t="shared" si="4"/>
        <v/>
      </c>
      <c r="K4" s="11" t="s">
        <v>26</v>
      </c>
      <c r="L4" s="10">
        <f>'Draft Data'!U63</f>
        <v>180</v>
      </c>
    </row>
    <row r="5">
      <c r="A5" s="11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7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7" t="str">
        <f t="shared" si="4"/>
        <v/>
      </c>
      <c r="K6" s="11" t="s">
        <v>31</v>
      </c>
      <c r="L6" s="18">
        <f>L2-L5
</f>
        <v>1200</v>
      </c>
    </row>
    <row r="7">
      <c r="A7" s="11">
        <v>6.0</v>
      </c>
      <c r="B7" s="12" t="s">
        <v>32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7" t="str">
        <f t="shared" si="4"/>
        <v/>
      </c>
      <c r="K7" s="11" t="s">
        <v>33</v>
      </c>
      <c r="L7" s="18">
        <f>SUMIF($E$2:$E$500,TRUE,$D$2:$D$500)</f>
        <v>0</v>
      </c>
    </row>
    <row r="8">
      <c r="A8" s="11">
        <v>7.0</v>
      </c>
      <c r="B8" s="12" t="s">
        <v>34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7" t="str">
        <f t="shared" si="4"/>
        <v/>
      </c>
      <c r="K8" s="11" t="s">
        <v>35</v>
      </c>
      <c r="L8" s="13">
        <f>L4-L7
</f>
        <v>180</v>
      </c>
    </row>
    <row r="9">
      <c r="A9" s="11">
        <v>8.0</v>
      </c>
      <c r="B9" s="12" t="s">
        <v>37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7" t="str">
        <f t="shared" si="4"/>
        <v/>
      </c>
      <c r="K9" s="11" t="s">
        <v>38</v>
      </c>
      <c r="L9" s="13">
        <f>L6-L8
</f>
        <v>1020</v>
      </c>
    </row>
    <row r="10">
      <c r="A10" s="11">
        <v>9.0</v>
      </c>
      <c r="B10" s="12" t="s">
        <v>39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7" t="str">
        <f t="shared" si="4"/>
        <v/>
      </c>
      <c r="K10" s="11" t="s">
        <v>40</v>
      </c>
      <c r="L10" s="13">
        <f>IF(L3&gt;1,L9/(L3-1),0)</f>
        <v>92.72727273</v>
      </c>
    </row>
    <row r="11">
      <c r="A11" s="11">
        <v>10.0</v>
      </c>
      <c r="B11" s="12" t="s">
        <v>41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7" t="str">
        <f t="shared" si="4"/>
        <v/>
      </c>
      <c r="K11" s="11" t="s">
        <v>43</v>
      </c>
      <c r="L11" s="19">
        <f>IF(L10&gt;0,L8/L10,1)</f>
        <v>1.941176471</v>
      </c>
    </row>
    <row r="12">
      <c r="A12" s="11">
        <v>11.0</v>
      </c>
      <c r="B12" s="12" t="s">
        <v>44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7" t="str">
        <f t="shared" si="4"/>
        <v/>
      </c>
    </row>
    <row r="13">
      <c r="A13" s="11">
        <v>12.0</v>
      </c>
      <c r="B13" s="12" t="s">
        <v>45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7" t="str">
        <f t="shared" si="4"/>
        <v/>
      </c>
      <c r="K13" s="11" t="s">
        <v>46</v>
      </c>
      <c r="L13" s="18">
        <f>SUMIF($D$2:$D$73,"",$C$2:$C$73)</f>
        <v>1200</v>
      </c>
    </row>
    <row r="14">
      <c r="A14" s="11">
        <v>13.0</v>
      </c>
      <c r="B14" s="12" t="s">
        <v>48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7" t="str">
        <f t="shared" si="4"/>
        <v/>
      </c>
      <c r="K14" s="11" t="s">
        <v>49</v>
      </c>
      <c r="L14" s="19">
        <f>IF(L13&gt;0,L6/L13,1)</f>
        <v>1</v>
      </c>
    </row>
    <row r="15">
      <c r="A15" s="11">
        <v>14.0</v>
      </c>
      <c r="B15" s="12" t="s">
        <v>50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7" t="str">
        <f t="shared" si="4"/>
        <v/>
      </c>
    </row>
    <row r="16">
      <c r="A16" s="11">
        <v>15.0</v>
      </c>
      <c r="B16" s="12" t="s">
        <v>51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7" t="str">
        <f t="shared" si="4"/>
        <v/>
      </c>
      <c r="K16" s="11" t="s">
        <v>52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7" t="str">
        <f t="shared" si="4"/>
        <v/>
      </c>
    </row>
    <row r="18">
      <c r="A18" s="11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7" t="str">
        <f t="shared" si="4"/>
        <v/>
      </c>
      <c r="K18" s="11" t="s">
        <v>56</v>
      </c>
      <c r="L18" s="20">
        <f>L5/L2</f>
        <v>0</v>
      </c>
    </row>
    <row r="19">
      <c r="A19" s="11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7" t="str">
        <f t="shared" si="4"/>
        <v/>
      </c>
    </row>
    <row r="20">
      <c r="A20" s="11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7" t="str">
        <f t="shared" si="4"/>
        <v/>
      </c>
    </row>
    <row r="21">
      <c r="A21" s="11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7" t="str">
        <f t="shared" si="4"/>
        <v/>
      </c>
    </row>
    <row r="22">
      <c r="A22" s="11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7" t="str">
        <f t="shared" si="4"/>
        <v/>
      </c>
    </row>
    <row r="23">
      <c r="A23" s="11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7" t="str">
        <f t="shared" si="4"/>
        <v/>
      </c>
    </row>
    <row r="24">
      <c r="A24" s="11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7" t="str">
        <f t="shared" si="4"/>
        <v/>
      </c>
    </row>
    <row r="25">
      <c r="A25" s="11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7" t="str">
        <f t="shared" si="4"/>
        <v/>
      </c>
    </row>
    <row r="26">
      <c r="A26" s="11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7" t="str">
        <f t="shared" si="4"/>
        <v/>
      </c>
    </row>
    <row r="27">
      <c r="A27" s="11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7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7" t="str">
        <f t="shared" si="4"/>
        <v/>
      </c>
    </row>
    <row r="29">
      <c r="A29" s="11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7" t="str">
        <f t="shared" si="4"/>
        <v/>
      </c>
    </row>
    <row r="30">
      <c r="A30" s="11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7" t="str">
        <f t="shared" si="4"/>
        <v/>
      </c>
    </row>
    <row r="31">
      <c r="A31" s="11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7" t="str">
        <f t="shared" si="4"/>
        <v/>
      </c>
    </row>
    <row r="32">
      <c r="A32" s="11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7" t="str">
        <f t="shared" si="4"/>
        <v/>
      </c>
    </row>
    <row r="33">
      <c r="A33" s="11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7" t="str">
        <f t="shared" si="4"/>
        <v/>
      </c>
    </row>
    <row r="34">
      <c r="A34" s="11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7" t="str">
        <f t="shared" si="4"/>
        <v/>
      </c>
    </row>
    <row r="35">
      <c r="A35" s="11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7" t="str">
        <f t="shared" si="4"/>
        <v/>
      </c>
    </row>
    <row r="36">
      <c r="A36" s="11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7" t="str">
        <f t="shared" si="4"/>
        <v/>
      </c>
    </row>
    <row r="37">
      <c r="A37" s="11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7" t="str">
        <f t="shared" si="4"/>
        <v/>
      </c>
    </row>
    <row r="38">
      <c r="A38" s="11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7" t="str">
        <f t="shared" si="4"/>
        <v/>
      </c>
    </row>
    <row r="39">
      <c r="A39" s="11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7" t="str">
        <f t="shared" si="4"/>
        <v/>
      </c>
    </row>
    <row r="40">
      <c r="A40" s="11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7" t="str">
        <f t="shared" si="4"/>
        <v/>
      </c>
    </row>
    <row r="41">
      <c r="A41" s="11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7" t="str">
        <f t="shared" si="4"/>
        <v/>
      </c>
    </row>
    <row r="42">
      <c r="A42" s="11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7" t="str">
        <f t="shared" si="4"/>
        <v/>
      </c>
    </row>
    <row r="43">
      <c r="A43" s="11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7" t="str">
        <f t="shared" si="4"/>
        <v/>
      </c>
    </row>
    <row r="44">
      <c r="A44" s="11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7" t="str">
        <f t="shared" si="4"/>
        <v/>
      </c>
    </row>
    <row r="45">
      <c r="A45" s="11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7" t="str">
        <f t="shared" si="4"/>
        <v/>
      </c>
    </row>
    <row r="46">
      <c r="A46" s="11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7" t="str">
        <f t="shared" si="4"/>
        <v/>
      </c>
    </row>
    <row r="47">
      <c r="A47" s="11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7" t="str">
        <f t="shared" si="4"/>
        <v/>
      </c>
    </row>
    <row r="48">
      <c r="A48" s="11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7" t="str">
        <f t="shared" si="4"/>
        <v/>
      </c>
    </row>
    <row r="49">
      <c r="A49" s="11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7" t="str">
        <f t="shared" si="4"/>
        <v/>
      </c>
    </row>
    <row r="50">
      <c r="A50" s="11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7" t="str">
        <f t="shared" si="4"/>
        <v/>
      </c>
    </row>
    <row r="51">
      <c r="A51" s="11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7" t="str">
        <f t="shared" si="4"/>
        <v/>
      </c>
    </row>
    <row r="52">
      <c r="A52" s="11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7" t="str">
        <f t="shared" si="4"/>
        <v/>
      </c>
    </row>
    <row r="53">
      <c r="A53" s="11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7" t="str">
        <f t="shared" si="4"/>
        <v/>
      </c>
    </row>
    <row r="54">
      <c r="A54" s="11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7" t="str">
        <f t="shared" si="4"/>
        <v/>
      </c>
    </row>
    <row r="55">
      <c r="A55" s="11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7" t="str">
        <f t="shared" si="4"/>
        <v/>
      </c>
    </row>
    <row r="56">
      <c r="A56" s="11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7" t="str">
        <f t="shared" si="4"/>
        <v/>
      </c>
    </row>
    <row r="57">
      <c r="A57" s="11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7" t="str">
        <f t="shared" si="4"/>
        <v/>
      </c>
    </row>
    <row r="58">
      <c r="A58" s="11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7" t="str">
        <f t="shared" si="4"/>
        <v/>
      </c>
    </row>
    <row r="59">
      <c r="A59" s="11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7" t="str">
        <f t="shared" si="4"/>
        <v/>
      </c>
    </row>
    <row r="60">
      <c r="A60" s="11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7" t="str">
        <f t="shared" si="4"/>
        <v/>
      </c>
    </row>
    <row r="61">
      <c r="A61" s="11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7" t="str">
        <f t="shared" si="4"/>
        <v/>
      </c>
    </row>
    <row r="62">
      <c r="A62" s="11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7" t="str">
        <f t="shared" si="4"/>
        <v/>
      </c>
    </row>
    <row r="63">
      <c r="A63" s="11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7" t="str">
        <f t="shared" si="4"/>
        <v/>
      </c>
    </row>
    <row r="64">
      <c r="A64" s="11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7" t="str">
        <f t="shared" si="4"/>
        <v/>
      </c>
    </row>
    <row r="65">
      <c r="A65" s="11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7" t="str">
        <f t="shared" si="4"/>
        <v/>
      </c>
    </row>
    <row r="66">
      <c r="A66" s="11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7" t="str">
        <f t="shared" si="4"/>
        <v/>
      </c>
    </row>
    <row r="67">
      <c r="A67" s="11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7" t="str">
        <f t="shared" si="4"/>
        <v/>
      </c>
    </row>
    <row r="68">
      <c r="A68" s="11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7" t="str">
        <f t="shared" si="4"/>
        <v/>
      </c>
    </row>
    <row r="69">
      <c r="A69" s="11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7" t="str">
        <f t="shared" si="4"/>
        <v/>
      </c>
    </row>
    <row r="70">
      <c r="A70" s="11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7" t="str">
        <f t="shared" si="4"/>
        <v/>
      </c>
    </row>
    <row r="71">
      <c r="A71" s="11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7" t="str">
        <f t="shared" si="4"/>
        <v/>
      </c>
    </row>
    <row r="72">
      <c r="A72" s="11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7" t="str">
        <f t="shared" si="4"/>
        <v/>
      </c>
    </row>
    <row r="73">
      <c r="A73" s="11">
        <v>72.0</v>
      </c>
      <c r="B73" s="11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7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