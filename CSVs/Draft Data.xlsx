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<sst xmlns="http://schemas.openxmlformats.org/spreadsheetml/2006/main" count="312" uniqueCount="178">
  <si>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</si>
  <si>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</si>
  <si>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</si>
  <si>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</si>
  <si>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</si>
  <si>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</si>
  <si>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</si>
  <si>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</si>
  <si>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</si>
  <si>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</si>
  <si>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</si>
  <si>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</si>
  <si>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</si>
  <si>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</si>
  <si>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</si>
  <si>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</si>
  <si>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</si>
  <si>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</si>
  <si>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</si>
  <si>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</si>
  <si>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</si>
  <si>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</si>
  <si>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</si>
  <si>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</si>
  <si>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</si>
  <si>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</si>
  <si>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</si>
  <si>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</si>
  <si>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</si>
  <si>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</si>
  <si>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</si>
  <si>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</si>
  <si>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</si>
  <si>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</si>
  <si>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</si>
  <si>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</si>
  <si>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Round 3</t>
  </si>
  <si>
    <t>KC Concepcion</t>
  </si>
  <si>
    <t>Other Teams Remaining</t>
  </si>
  <si>
    <t>Jadarian Price</t>
  </si>
  <si>
    <t>Round 4</t>
  </si>
  <si>
    <t>Avg $ per Other Team</t>
  </si>
  <si>
    <t>Eli Stowers</t>
  </si>
  <si>
    <t>Round 5</t>
  </si>
  <si>
    <t>Budget Advantage Factor</t>
  </si>
  <si>
    <t>Omar Cooper</t>
  </si>
  <si>
    <t>Round 6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</si>
  <si>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</si>
  <si>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</si>
  <si>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</si>
  <si>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</si>
  <si>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</si>
  <si>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</si>
  <si>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</si>
  <si>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</si>
  <si>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</si>
  <si>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</si>
  <si>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</si>
  <si>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</si>
  <si>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</si>
  <si>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</si>
  <si>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</si>
  <si>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</si>
  <si>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</si>
  <si>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</si>
  <si>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</si>
  <si>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</si>
  <si>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</si>
  <si>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</si>
  <si>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</si>
  <si>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</si>
  <si>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</si>
  <si>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</si>
  <si>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</si>
  <si>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</si>
  <si>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</si>
  <si>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</si>
  <si>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</si>
  <si>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</si>
  <si>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</si>
  <si>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</si>
  <si>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Zachariah Branch</t>
  </si>
  <si>
    <t>Ed</t>
  </si>
  <si>
    <t>De'Zhaun Stribling</t>
  </si>
  <si>
    <t>Malachi Fields</t>
  </si>
  <si>
    <t>Kaytron Allen</t>
  </si>
  <si>
    <t>Brent</t>
  </si>
  <si>
    <t>Ted Hurst</t>
  </si>
  <si>
    <t>Joey</t>
  </si>
  <si>
    <t>Ja'Kobi Lane</t>
  </si>
  <si>
    <t>MaKayla</t>
  </si>
  <si>
    <t>Anthony Hill</t>
  </si>
  <si>
    <t>Skyler Bell</t>
  </si>
  <si>
    <t>Ty</t>
  </si>
  <si>
    <t>A.J. Haulcy</t>
  </si>
  <si>
    <t>Kich</t>
  </si>
  <si>
    <t>Josiah Trotter</t>
  </si>
  <si>
    <t>Eric</t>
  </si>
  <si>
    <t>Dani Dennis-Sutton</t>
  </si>
  <si>
    <t>Collin</t>
  </si>
  <si>
    <t>Emmanuel McNeil-Warren</t>
  </si>
  <si>
    <t>Roy</t>
  </si>
  <si>
    <t>R Mason Thomas</t>
  </si>
  <si>
    <t>Jason</t>
  </si>
  <si>
    <t>Oscar Delp</t>
  </si>
  <si>
    <t>Michael Trigg</t>
  </si>
  <si>
    <t>Blaine</t>
  </si>
  <si>
    <t>Demond Claiborne</t>
  </si>
  <si>
    <t>Joel</t>
  </si>
  <si>
    <t>Malachi Lawrence</t>
  </si>
  <si>
    <t>CJ Donaldson</t>
  </si>
  <si>
    <t>T.J. Parker</t>
  </si>
  <si>
    <t>Value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</si>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</sst>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36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46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72</v>
      </c>
      <c r="P29" s="6" t="s">
        <v>73</v>
      </c>
      <c r="Q29" s="9"/>
      <c r="R29" s="6" t="s">
        <v>74</v>
      </c>
      <c r="S29" s="6" t="s">
        <v>75</v>
      </c>
      <c r="T29" s="6" t="s">
        <v>76</v>
      </c>
      <c r="U29" s="9"/>
      <c r="V29" s="6" t="s">
        <v>77</v>
      </c>
      <c r="W29" s="6" t="s">
        <v>78</v>
      </c>
      <c r="X29" s="6" t="s">
        <v>79</v>
      </c>
      <c r="Y29" s="6" t="s">
        <v>80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82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86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88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90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93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95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97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99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101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103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106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108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77</v>
      </c>
      <c r="P44" s="6" t="s">
        <v>13</v>
      </c>
      <c r="Q44" s="6" t="s">
        <v>112</v>
      </c>
      <c r="R44" s="6" t="s">
        <v>73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108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106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103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101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99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97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95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2">
        <f t="shared" si="18"/>
        <v>3</v>
      </c>
      <c r="P70" s="22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93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2">
        <f t="shared" si="18"/>
        <v>3</v>
      </c>
      <c r="P71" s="22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90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2">
        <f t="shared" si="18"/>
        <v>3</v>
      </c>
      <c r="P72" s="22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88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86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82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2">
        <f t="shared" si="18"/>
        <v>5</v>
      </c>
      <c r="P93" s="22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34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49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37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100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42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81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84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111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96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123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89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85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126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131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107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129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92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122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105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87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117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116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121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104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120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35</v>
      </c>
      <c r="L8" s="12">
        <f>L4-L7
</f>
        <v>180</v>
      </c>
    </row>
    <row r="9">
      <c r="A9" s="7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38</v>
      </c>
      <c r="L9" s="12">
        <f>L6-L8
</f>
        <v>1020</v>
      </c>
    </row>
    <row r="10">
      <c r="A10" s="7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41</v>
      </c>
      <c r="L10" s="12">
        <f>IF(L3&gt;1,L9/(L3-1),0)</f>
        <v>92.72727273</v>
      </c>
    </row>
    <row r="11">
      <c r="A11" s="7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44</v>
      </c>
      <c r="L11" s="19">
        <f>IF(L10&gt;0,L8/L10,1)</f>
        <v>1.941176471</v>
      </c>
    </row>
    <row r="12">
      <c r="A12" s="7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48</v>
      </c>
      <c r="L13" s="18">
        <f>SUMIF($D$2:$D$73,"",$C$2:$C$73)</f>
        <v>1200</v>
      </c>
    </row>
    <row r="14">
      <c r="A14" s="7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50</v>
      </c>
      <c r="L14" s="19">
        <f>IF(L13&gt;0,L6/L13,1)</f>
        <v>1</v>
      </c>
    </row>
    <row r="15">
      <c r="A15" s="7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53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81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83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84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85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87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89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91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92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94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96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98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100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102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104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105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107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109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110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111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113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114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115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116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117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118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119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120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121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122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123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124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125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126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127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128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129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130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131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132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133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134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