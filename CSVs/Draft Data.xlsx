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<sst xmlns="http://schemas.openxmlformats.org/spreadsheetml/2006/main" count="312" uniqueCount="178">
  <si>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</si>
  <si>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</si>
  <si>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</si>
  <si>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VALUE</t>
  </si>
  <si>
    <t>PreDraft$</t>
  </si>
  <si>
    <t>Final Price</t>
  </si>
  <si>
    <t>Mine?</t>
  </si>
  <si>
    <t>Inflated Fair Price</t>
  </si>
  <si>
    <t>Decay</t>
  </si>
  <si>
    <t>New Values</t>
  </si>
  <si>
    <t>My Max Bid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</si>
  <si>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</si>
  <si>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</si>
  <si>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</si>
  <si>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</si>
  <si>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</si>
  <si>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</si>
  <si>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</si>
  <si>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</si>
  <si>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</si>
  <si>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</si>
  <si>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</si>
  <si>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</si>
  <si>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</si>
  <si>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</si>
  <si>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</si>
  <si>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</si>
  <si>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</si>
  <si>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</si>
  <si>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</si>
  <si>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</si>
  <si>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</si>
  <si>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</si>
  <si>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</si>
  <si>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</si>
  <si>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</si>
  <si>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</si>
  <si>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</si>
  <si>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</si>
  <si>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</si>
  <si>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</si>
  <si>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</si>
  <si>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</si>
  <si>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</si>
  <si>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</si>
  <si>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</si>
  <si>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</si>
  <si>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</si>
  <si>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</si>
  <si>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</si>
  <si>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</si>
  <si>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</si>
  <si>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</si>
  <si>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</si>
  <si>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</si>
  <si>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</si>
  <si>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</si>
  <si>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</si>
  <si>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Round 4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</si>
  <si>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</si>
  <si>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</si>
  <si>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</si>
  <si>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</si>
  <si>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</si>
  <si>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</si>
  <si>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</si>
  <si>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</si>
  <si>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5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</si>
  <si>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</si>
  <si>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</si>
  <si>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</si>
  <si>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</si>
  <si>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</si>
  <si>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</si>
  <si>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</si>
  <si>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Round 6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</si>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</sst>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1</v>
      </c>
      <c r="B1" s="3" t="s">
        <v>3</v>
      </c>
      <c r="C1" s="4" t="s">
        <v>8</v>
      </c>
      <c r="D1" s="4" t="s">
        <v>9</v>
      </c>
      <c r="E1" s="4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7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7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7">
        <f t="shared" ref="E2:E73" si="4">(MEDIAN(F2:H2)+AVERAGE(F2:H2))/2
</f>
        <v>126.4166667</v>
      </c>
      <c r="F2" s="17">
        <v>125.5</v>
      </c>
      <c r="G2" s="17">
        <v>122.5</v>
      </c>
      <c r="H2" s="17">
        <v>134.0</v>
      </c>
      <c r="I2" s="17">
        <f t="shared" ref="I2:I73" si="5">ROUNDDOWN(C2*2,0)</f>
        <v>266</v>
      </c>
      <c r="J2" s="17">
        <f t="shared" ref="J2:J73" si="6">C2*2 - I2</f>
        <v>0.6356720614</v>
      </c>
      <c r="K2" s="17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34</v>
      </c>
      <c r="P2" s="17">
        <f t="shared" ref="P2:AA2" si="1">INDEX($L$1:$L$73, 2 + (ROW()-ROW($P$2))*12 + (COLUMN()-COLUMN($P$2)))</f>
        <v>134.5</v>
      </c>
      <c r="Q2" s="17">
        <f t="shared" si="1"/>
        <v>100.5</v>
      </c>
      <c r="R2" s="17">
        <f t="shared" si="1"/>
        <v>93</v>
      </c>
      <c r="S2" s="17">
        <f t="shared" si="1"/>
        <v>80.5</v>
      </c>
      <c r="T2" s="17">
        <f t="shared" si="1"/>
        <v>75.5</v>
      </c>
      <c r="U2" s="17">
        <f t="shared" si="1"/>
        <v>68.5</v>
      </c>
      <c r="V2" s="17">
        <f t="shared" si="1"/>
        <v>54.5</v>
      </c>
      <c r="W2" s="17">
        <f t="shared" si="1"/>
        <v>53.5</v>
      </c>
      <c r="X2" s="17">
        <f t="shared" si="1"/>
        <v>46</v>
      </c>
      <c r="Y2" s="17">
        <f t="shared" si="1"/>
        <v>44.5</v>
      </c>
      <c r="Z2" s="17">
        <f t="shared" si="1"/>
        <v>41</v>
      </c>
      <c r="AA2" s="17">
        <f t="shared" si="1"/>
        <v>35.5</v>
      </c>
      <c r="AB2" s="17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7">
        <f t="shared" si="2"/>
        <v>99.38361855</v>
      </c>
      <c r="D3" s="17">
        <f t="shared" si="3"/>
        <v>100.5</v>
      </c>
      <c r="E3" s="17">
        <f t="shared" si="4"/>
        <v>103.0833333</v>
      </c>
      <c r="F3" s="17">
        <v>95.0</v>
      </c>
      <c r="G3" s="17">
        <v>113.5</v>
      </c>
      <c r="H3" s="17">
        <v>102.5</v>
      </c>
      <c r="I3" s="17">
        <f t="shared" si="5"/>
        <v>198</v>
      </c>
      <c r="J3" s="17">
        <f t="shared" si="6"/>
        <v>0.7672370964</v>
      </c>
      <c r="K3" s="17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44</v>
      </c>
      <c r="P3" s="17">
        <f t="shared" ref="P3:AA3" si="8">INDEX($L$1:$L$73, 2 + (ROW()-ROW($P$2))*12 + (COLUMN()-COLUMN($P$2)))</f>
        <v>29.5</v>
      </c>
      <c r="Q3" s="17">
        <f t="shared" si="8"/>
        <v>28.5</v>
      </c>
      <c r="R3" s="17">
        <f t="shared" si="8"/>
        <v>26.5</v>
      </c>
      <c r="S3" s="17">
        <f t="shared" si="8"/>
        <v>24</v>
      </c>
      <c r="T3" s="17">
        <f t="shared" si="8"/>
        <v>21.5</v>
      </c>
      <c r="U3" s="17">
        <f t="shared" si="8"/>
        <v>19</v>
      </c>
      <c r="V3" s="17">
        <f t="shared" si="8"/>
        <v>17.5</v>
      </c>
      <c r="W3" s="17">
        <f t="shared" si="8"/>
        <v>16</v>
      </c>
      <c r="X3" s="17">
        <f t="shared" si="8"/>
        <v>14</v>
      </c>
      <c r="Y3" s="17">
        <f t="shared" si="8"/>
        <v>13.5</v>
      </c>
      <c r="Z3" s="17">
        <f t="shared" si="8"/>
        <v>11</v>
      </c>
      <c r="AA3" s="17">
        <f t="shared" si="8"/>
        <v>10</v>
      </c>
      <c r="AB3" s="17">
        <f t="shared" si="9"/>
        <v>231</v>
      </c>
      <c r="AC3" s="10"/>
      <c r="AD3" s="10"/>
    </row>
    <row r="4">
      <c r="A4" s="13">
        <v>1.03</v>
      </c>
      <c r="B4" s="5">
        <v>5649.0</v>
      </c>
      <c r="C4" s="17">
        <f t="shared" si="2"/>
        <v>91.80264821</v>
      </c>
      <c r="D4" s="17">
        <f t="shared" si="3"/>
        <v>93</v>
      </c>
      <c r="E4" s="17">
        <f t="shared" si="4"/>
        <v>90.66666667</v>
      </c>
      <c r="F4" s="17">
        <v>85.5</v>
      </c>
      <c r="G4" s="17">
        <v>91.5</v>
      </c>
      <c r="H4" s="17">
        <v>92.5</v>
      </c>
      <c r="I4" s="17">
        <f t="shared" si="5"/>
        <v>183</v>
      </c>
      <c r="J4" s="17">
        <f t="shared" si="6"/>
        <v>0.6052964259</v>
      </c>
      <c r="K4" s="17">
        <f t="shared" si="10"/>
        <v>184</v>
      </c>
      <c r="L4" s="18">
        <f t="shared" si="7"/>
        <v>93</v>
      </c>
      <c r="M4" s="12"/>
      <c r="N4" s="12"/>
      <c r="O4" s="10" t="s">
        <v>50</v>
      </c>
      <c r="P4" s="17">
        <f t="shared" ref="P4:AA4" si="11">INDEX($L$1:$L$73, 2 + (ROW()-ROW($P$2))*12 + (COLUMN()-COLUMN($P$2)))</f>
        <v>9.5</v>
      </c>
      <c r="Q4" s="17">
        <f t="shared" si="11"/>
        <v>9</v>
      </c>
      <c r="R4" s="17">
        <f t="shared" si="11"/>
        <v>7</v>
      </c>
      <c r="S4" s="17">
        <f t="shared" si="11"/>
        <v>7</v>
      </c>
      <c r="T4" s="17">
        <f t="shared" si="11"/>
        <v>6.5</v>
      </c>
      <c r="U4" s="17">
        <f t="shared" si="11"/>
        <v>6.5</v>
      </c>
      <c r="V4" s="17">
        <f t="shared" si="11"/>
        <v>5.5</v>
      </c>
      <c r="W4" s="17">
        <f t="shared" si="11"/>
        <v>5.5</v>
      </c>
      <c r="X4" s="17">
        <f t="shared" si="11"/>
        <v>4.5</v>
      </c>
      <c r="Y4" s="17">
        <f t="shared" si="11"/>
        <v>4.5</v>
      </c>
      <c r="Z4" s="17">
        <f t="shared" si="11"/>
        <v>4.5</v>
      </c>
      <c r="AA4" s="17">
        <f t="shared" si="11"/>
        <v>4</v>
      </c>
      <c r="AB4" s="17">
        <f t="shared" si="9"/>
        <v>74</v>
      </c>
      <c r="AC4" s="10"/>
      <c r="AD4" s="10"/>
    </row>
    <row r="5">
      <c r="A5" s="13">
        <v>1.04</v>
      </c>
      <c r="B5" s="5">
        <v>5074.5</v>
      </c>
      <c r="C5" s="17">
        <f t="shared" si="2"/>
        <v>79.37165519</v>
      </c>
      <c r="D5" s="17">
        <f t="shared" si="3"/>
        <v>80.5</v>
      </c>
      <c r="E5" s="17">
        <f t="shared" si="4"/>
        <v>80.66666667</v>
      </c>
      <c r="F5" s="17">
        <v>77.5</v>
      </c>
      <c r="G5" s="17">
        <v>84.5</v>
      </c>
      <c r="H5" s="17">
        <v>80.5</v>
      </c>
      <c r="I5" s="17">
        <f t="shared" si="5"/>
        <v>158</v>
      </c>
      <c r="J5" s="17">
        <f t="shared" si="6"/>
        <v>0.7433103774</v>
      </c>
      <c r="K5" s="17">
        <f t="shared" si="10"/>
        <v>159</v>
      </c>
      <c r="L5" s="18">
        <f t="shared" si="7"/>
        <v>80.5</v>
      </c>
      <c r="M5" s="12"/>
      <c r="N5" s="12"/>
      <c r="O5" s="10" t="s">
        <v>58</v>
      </c>
      <c r="P5" s="17">
        <f t="shared" ref="P5:AA5" si="12">INDEX($L$1:$L$73, 2 + (ROW()-ROW($P$2))*12 + (COLUMN()-COLUMN($P$2)))</f>
        <v>3.5</v>
      </c>
      <c r="Q5" s="17">
        <f t="shared" si="12"/>
        <v>3.5</v>
      </c>
      <c r="R5" s="17">
        <f t="shared" si="12"/>
        <v>3</v>
      </c>
      <c r="S5" s="17">
        <f t="shared" si="12"/>
        <v>3</v>
      </c>
      <c r="T5" s="17">
        <f t="shared" si="12"/>
        <v>3</v>
      </c>
      <c r="U5" s="17">
        <f t="shared" si="12"/>
        <v>2.5</v>
      </c>
      <c r="V5" s="17">
        <f t="shared" si="12"/>
        <v>2.5</v>
      </c>
      <c r="W5" s="17">
        <f t="shared" si="12"/>
        <v>2.5</v>
      </c>
      <c r="X5" s="17">
        <f t="shared" si="12"/>
        <v>2</v>
      </c>
      <c r="Y5" s="17">
        <f t="shared" si="12"/>
        <v>2</v>
      </c>
      <c r="Z5" s="17">
        <f t="shared" si="12"/>
        <v>2</v>
      </c>
      <c r="AA5" s="17">
        <f t="shared" si="12"/>
        <v>2</v>
      </c>
      <c r="AB5" s="17">
        <f t="shared" si="9"/>
        <v>31.5</v>
      </c>
      <c r="AC5" s="10"/>
      <c r="AD5" s="10"/>
    </row>
    <row r="6">
      <c r="A6" s="13">
        <v>1.05</v>
      </c>
      <c r="B6" s="5">
        <v>5076.0</v>
      </c>
      <c r="C6" s="17">
        <f t="shared" si="2"/>
        <v>74.3655612</v>
      </c>
      <c r="D6" s="17">
        <f t="shared" si="3"/>
        <v>75.5</v>
      </c>
      <c r="E6" s="17">
        <f t="shared" si="4"/>
        <v>75.08333333</v>
      </c>
      <c r="F6" s="17">
        <v>73.0</v>
      </c>
      <c r="G6" s="17">
        <v>79.5</v>
      </c>
      <c r="H6" s="17">
        <v>74.5</v>
      </c>
      <c r="I6" s="17">
        <f t="shared" si="5"/>
        <v>148</v>
      </c>
      <c r="J6" s="17">
        <f t="shared" si="6"/>
        <v>0.7311223994</v>
      </c>
      <c r="K6" s="17">
        <f t="shared" si="10"/>
        <v>149</v>
      </c>
      <c r="L6" s="18">
        <f t="shared" si="7"/>
        <v>75.5</v>
      </c>
      <c r="M6" s="12"/>
      <c r="N6" s="12"/>
      <c r="O6" s="10" t="s">
        <v>67</v>
      </c>
      <c r="P6" s="17">
        <f t="shared" ref="P6:AA6" si="13">INDEX($L$1:$L$73, 2 + (ROW()-ROW($P$2))*12 + (COLUMN()-COLUMN($P$2)))</f>
        <v>2</v>
      </c>
      <c r="Q6" s="17">
        <f t="shared" si="13"/>
        <v>2</v>
      </c>
      <c r="R6" s="17">
        <f t="shared" si="13"/>
        <v>2</v>
      </c>
      <c r="S6" s="17">
        <f t="shared" si="13"/>
        <v>2</v>
      </c>
      <c r="T6" s="17">
        <f t="shared" si="13"/>
        <v>2</v>
      </c>
      <c r="U6" s="17">
        <f t="shared" si="13"/>
        <v>2</v>
      </c>
      <c r="V6" s="17">
        <f t="shared" si="13"/>
        <v>2</v>
      </c>
      <c r="W6" s="17">
        <f t="shared" si="13"/>
        <v>2</v>
      </c>
      <c r="X6" s="17">
        <f t="shared" si="13"/>
        <v>2</v>
      </c>
      <c r="Y6" s="17">
        <f t="shared" si="13"/>
        <v>2</v>
      </c>
      <c r="Z6" s="17">
        <f t="shared" si="13"/>
        <v>2</v>
      </c>
      <c r="AA6" s="17">
        <f t="shared" si="13"/>
        <v>2</v>
      </c>
      <c r="AB6" s="17">
        <f t="shared" si="9"/>
        <v>24</v>
      </c>
      <c r="AC6" s="10"/>
      <c r="AD6" s="10"/>
    </row>
    <row r="7">
      <c r="A7" s="13">
        <v>1.06</v>
      </c>
      <c r="B7" s="5">
        <v>4965.0</v>
      </c>
      <c r="C7" s="17">
        <f t="shared" si="2"/>
        <v>67.755402</v>
      </c>
      <c r="D7" s="17">
        <f t="shared" si="3"/>
        <v>68.5</v>
      </c>
      <c r="E7" s="17">
        <f t="shared" si="4"/>
        <v>67.58333333</v>
      </c>
      <c r="F7" s="17">
        <v>67.5</v>
      </c>
      <c r="G7" s="17">
        <v>67.5</v>
      </c>
      <c r="H7" s="17">
        <v>68.0</v>
      </c>
      <c r="I7" s="17">
        <f t="shared" si="5"/>
        <v>135</v>
      </c>
      <c r="J7" s="17">
        <f t="shared" si="6"/>
        <v>0.5108040066</v>
      </c>
      <c r="K7" s="17">
        <f t="shared" si="10"/>
        <v>136</v>
      </c>
      <c r="L7" s="18">
        <f t="shared" si="7"/>
        <v>68.5</v>
      </c>
      <c r="M7" s="12"/>
      <c r="N7" s="12"/>
      <c r="O7" s="10" t="s">
        <v>75</v>
      </c>
      <c r="P7" s="17">
        <f t="shared" ref="P7:AA7" si="14">INDEX($L$1:$L$73, 2 + (ROW()-ROW($P$2))*12 + (COLUMN()-COLUMN($P$2)))</f>
        <v>1</v>
      </c>
      <c r="Q7" s="17">
        <f t="shared" si="14"/>
        <v>1</v>
      </c>
      <c r="R7" s="17">
        <f t="shared" si="14"/>
        <v>1</v>
      </c>
      <c r="S7" s="17">
        <f t="shared" si="14"/>
        <v>1</v>
      </c>
      <c r="T7" s="17">
        <f t="shared" si="14"/>
        <v>1</v>
      </c>
      <c r="U7" s="17">
        <f t="shared" si="14"/>
        <v>1</v>
      </c>
      <c r="V7" s="17">
        <f t="shared" si="14"/>
        <v>1</v>
      </c>
      <c r="W7" s="17">
        <f t="shared" si="14"/>
        <v>1</v>
      </c>
      <c r="X7" s="17">
        <f t="shared" si="14"/>
        <v>1</v>
      </c>
      <c r="Y7" s="17">
        <f t="shared" si="14"/>
        <v>1</v>
      </c>
      <c r="Z7" s="17">
        <f t="shared" si="14"/>
        <v>1</v>
      </c>
      <c r="AA7" s="17">
        <f t="shared" si="14"/>
        <v>1</v>
      </c>
      <c r="AB7" s="17">
        <f t="shared" si="9"/>
        <v>12</v>
      </c>
      <c r="AC7" s="10"/>
      <c r="AD7" s="10"/>
    </row>
    <row r="8">
      <c r="A8" s="13">
        <v>1.07</v>
      </c>
      <c r="B8" s="5">
        <v>4014.5</v>
      </c>
      <c r="C8" s="17">
        <f t="shared" si="2"/>
        <v>54.14386456</v>
      </c>
      <c r="D8" s="17">
        <f t="shared" si="3"/>
        <v>54.5</v>
      </c>
      <c r="E8" s="17">
        <f t="shared" si="4"/>
        <v>58</v>
      </c>
      <c r="F8" s="17">
        <v>62.0</v>
      </c>
      <c r="G8" s="17">
        <v>57.5</v>
      </c>
      <c r="H8" s="17">
        <v>56.0</v>
      </c>
      <c r="I8" s="17">
        <f t="shared" si="5"/>
        <v>108</v>
      </c>
      <c r="J8" s="17">
        <f t="shared" si="6"/>
        <v>0.2877291223</v>
      </c>
      <c r="K8" s="17">
        <f t="shared" si="10"/>
        <v>108</v>
      </c>
      <c r="L8" s="18">
        <f t="shared" si="7"/>
        <v>54.5</v>
      </c>
      <c r="M8" s="12"/>
      <c r="N8" s="12"/>
      <c r="O8" s="12"/>
      <c r="P8" s="17">
        <f t="shared" ref="P8:AB8" si="15">SUM(P2:P7)</f>
        <v>180</v>
      </c>
      <c r="Q8" s="17">
        <f t="shared" si="15"/>
        <v>144.5</v>
      </c>
      <c r="R8" s="17">
        <f t="shared" si="15"/>
        <v>132.5</v>
      </c>
      <c r="S8" s="17">
        <f t="shared" si="15"/>
        <v>117.5</v>
      </c>
      <c r="T8" s="17">
        <f t="shared" si="15"/>
        <v>109.5</v>
      </c>
      <c r="U8" s="17">
        <f t="shared" si="15"/>
        <v>99.5</v>
      </c>
      <c r="V8" s="17">
        <f t="shared" si="15"/>
        <v>83</v>
      </c>
      <c r="W8" s="17">
        <f t="shared" si="15"/>
        <v>80.5</v>
      </c>
      <c r="X8" s="17">
        <f t="shared" si="15"/>
        <v>69.5</v>
      </c>
      <c r="Y8" s="17">
        <f t="shared" si="15"/>
        <v>67.5</v>
      </c>
      <c r="Z8" s="17">
        <f t="shared" si="15"/>
        <v>61.5</v>
      </c>
      <c r="AA8" s="17">
        <f t="shared" si="15"/>
        <v>54.5</v>
      </c>
      <c r="AB8" s="17">
        <f t="shared" si="15"/>
        <v>1200</v>
      </c>
      <c r="AC8" s="10"/>
      <c r="AD8" s="10"/>
    </row>
    <row r="9">
      <c r="A9" s="13">
        <v>1.08</v>
      </c>
      <c r="B9" s="5">
        <v>4308.0</v>
      </c>
      <c r="C9" s="17">
        <f t="shared" si="2"/>
        <v>52.77059949</v>
      </c>
      <c r="D9" s="17">
        <f t="shared" si="3"/>
        <v>53.5</v>
      </c>
      <c r="E9" s="17">
        <f t="shared" si="4"/>
        <v>54.33333333</v>
      </c>
      <c r="F9" s="17">
        <v>57.0</v>
      </c>
      <c r="G9" s="17">
        <v>53.0</v>
      </c>
      <c r="H9" s="17">
        <v>54.0</v>
      </c>
      <c r="I9" s="17">
        <f t="shared" si="5"/>
        <v>105</v>
      </c>
      <c r="J9" s="17">
        <f t="shared" si="6"/>
        <v>0.5411989831</v>
      </c>
      <c r="K9" s="17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7">
        <f t="shared" si="2"/>
        <v>45.5279227</v>
      </c>
      <c r="D10" s="17">
        <f t="shared" si="3"/>
        <v>46</v>
      </c>
      <c r="E10" s="17">
        <f t="shared" si="4"/>
        <v>48.58333333</v>
      </c>
      <c r="F10" s="17">
        <v>52.5</v>
      </c>
      <c r="G10" s="17">
        <v>48.0</v>
      </c>
      <c r="H10" s="17">
        <v>47.0</v>
      </c>
      <c r="I10" s="17">
        <f t="shared" si="5"/>
        <v>91</v>
      </c>
      <c r="J10" s="17">
        <f t="shared" si="6"/>
        <v>0.05584540002</v>
      </c>
      <c r="K10" s="17">
        <f t="shared" si="10"/>
        <v>91</v>
      </c>
      <c r="L10" s="18">
        <f t="shared" si="7"/>
        <v>46</v>
      </c>
      <c r="M10" s="12"/>
      <c r="N10" s="12"/>
      <c r="O10" s="12"/>
      <c r="P10" s="17"/>
      <c r="Q10" s="17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7">
        <f t="shared" si="2"/>
        <v>43.91121089</v>
      </c>
      <c r="D11" s="17">
        <f t="shared" si="3"/>
        <v>44.5</v>
      </c>
      <c r="E11" s="17">
        <f t="shared" si="4"/>
        <v>44.25</v>
      </c>
      <c r="F11" s="17">
        <v>45.0</v>
      </c>
      <c r="G11" s="17">
        <v>42.5</v>
      </c>
      <c r="H11" s="17">
        <v>44.5</v>
      </c>
      <c r="I11" s="17">
        <f t="shared" si="5"/>
        <v>87</v>
      </c>
      <c r="J11" s="17">
        <f t="shared" si="6"/>
        <v>0.8224217757</v>
      </c>
      <c r="K11" s="17">
        <f t="shared" si="10"/>
        <v>88</v>
      </c>
      <c r="L11" s="18">
        <f t="shared" si="7"/>
        <v>44.5</v>
      </c>
      <c r="M11" s="12"/>
      <c r="N11" s="12"/>
      <c r="O11" s="12"/>
      <c r="P11" s="17"/>
      <c r="Q11" s="17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7">
        <f t="shared" si="2"/>
        <v>40.67669146</v>
      </c>
      <c r="D12" s="17">
        <f t="shared" si="3"/>
        <v>41</v>
      </c>
      <c r="E12" s="17">
        <f t="shared" si="4"/>
        <v>40.66666667</v>
      </c>
      <c r="F12" s="17">
        <v>41.0</v>
      </c>
      <c r="G12" s="17">
        <v>39.0</v>
      </c>
      <c r="H12" s="17">
        <v>41.0</v>
      </c>
      <c r="I12" s="17">
        <f t="shared" si="5"/>
        <v>81</v>
      </c>
      <c r="J12" s="17">
        <f t="shared" si="6"/>
        <v>0.3533829233</v>
      </c>
      <c r="K12" s="17">
        <f t="shared" si="10"/>
        <v>81</v>
      </c>
      <c r="L12" s="18">
        <f t="shared" si="7"/>
        <v>41</v>
      </c>
      <c r="M12" s="12"/>
      <c r="N12" s="12"/>
      <c r="O12" s="12"/>
      <c r="P12" s="17"/>
      <c r="Q12" s="17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7">
        <f t="shared" si="2"/>
        <v>35.11775951</v>
      </c>
      <c r="D13" s="17">
        <f t="shared" si="3"/>
        <v>35.5</v>
      </c>
      <c r="E13" s="17">
        <f t="shared" si="4"/>
        <v>35.66666667</v>
      </c>
      <c r="F13" s="17">
        <v>37.5</v>
      </c>
      <c r="G13" s="17">
        <v>34.5</v>
      </c>
      <c r="H13" s="17">
        <v>35.5</v>
      </c>
      <c r="I13" s="17">
        <f t="shared" si="5"/>
        <v>70</v>
      </c>
      <c r="J13" s="17">
        <f t="shared" si="6"/>
        <v>0.2355190156</v>
      </c>
      <c r="K13" s="17">
        <f t="shared" si="10"/>
        <v>70</v>
      </c>
      <c r="L13" s="18">
        <f t="shared" si="7"/>
        <v>35.5</v>
      </c>
      <c r="M13" s="12"/>
      <c r="N13" s="12"/>
      <c r="O13" s="12"/>
      <c r="P13" s="17"/>
      <c r="Q13" s="17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7">
        <f t="shared" si="2"/>
        <v>29.5432517</v>
      </c>
      <c r="D14" s="17">
        <f t="shared" si="3"/>
        <v>29.5</v>
      </c>
      <c r="E14" s="17">
        <f t="shared" si="4"/>
        <v>30.41666667</v>
      </c>
      <c r="F14" s="17">
        <v>33.0</v>
      </c>
      <c r="G14" s="17">
        <v>30.0</v>
      </c>
      <c r="H14" s="17">
        <v>29.5</v>
      </c>
      <c r="I14" s="17">
        <f t="shared" si="5"/>
        <v>59</v>
      </c>
      <c r="J14" s="17">
        <f t="shared" si="6"/>
        <v>0.08650340414</v>
      </c>
      <c r="K14" s="17">
        <f t="shared" si="10"/>
        <v>59</v>
      </c>
      <c r="L14" s="18">
        <f t="shared" si="7"/>
        <v>29.5</v>
      </c>
      <c r="M14" s="12"/>
      <c r="N14" s="12"/>
      <c r="O14" s="12"/>
      <c r="P14" s="17"/>
      <c r="Q14" s="17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7">
        <f t="shared" si="2"/>
        <v>28.42496232</v>
      </c>
      <c r="D15" s="17">
        <f t="shared" si="3"/>
        <v>28.5</v>
      </c>
      <c r="E15" s="17">
        <f t="shared" si="4"/>
        <v>28.16666667</v>
      </c>
      <c r="F15" s="17">
        <v>30.0</v>
      </c>
      <c r="G15" s="17">
        <v>27.0</v>
      </c>
      <c r="H15" s="17">
        <v>28.0</v>
      </c>
      <c r="I15" s="17">
        <f t="shared" si="5"/>
        <v>56</v>
      </c>
      <c r="J15" s="17">
        <f t="shared" si="6"/>
        <v>0.8499246445</v>
      </c>
      <c r="K15" s="17">
        <f t="shared" si="10"/>
        <v>57</v>
      </c>
      <c r="L15" s="18">
        <f t="shared" si="7"/>
        <v>28.5</v>
      </c>
      <c r="M15" s="12"/>
      <c r="N15" s="12"/>
      <c r="O15" s="12"/>
      <c r="P15" s="17"/>
      <c r="Q15" s="17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7">
        <f t="shared" si="2"/>
        <v>26.33603784</v>
      </c>
      <c r="D16" s="17">
        <f t="shared" si="3"/>
        <v>26.5</v>
      </c>
      <c r="E16" s="17">
        <f t="shared" si="4"/>
        <v>26</v>
      </c>
      <c r="F16" s="17">
        <v>27.0</v>
      </c>
      <c r="G16" s="17">
        <v>25.0</v>
      </c>
      <c r="H16" s="17">
        <v>26.0</v>
      </c>
      <c r="I16" s="17">
        <f t="shared" si="5"/>
        <v>52</v>
      </c>
      <c r="J16" s="17">
        <f t="shared" si="6"/>
        <v>0.6720756822</v>
      </c>
      <c r="K16" s="17">
        <f t="shared" si="10"/>
        <v>53</v>
      </c>
      <c r="L16" s="18">
        <f t="shared" si="7"/>
        <v>26.5</v>
      </c>
      <c r="M16" s="12"/>
      <c r="N16" s="12"/>
      <c r="O16" s="12"/>
      <c r="P16" s="17"/>
      <c r="Q16" s="17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7">
        <f t="shared" si="2"/>
        <v>24.0808176</v>
      </c>
      <c r="D17" s="17">
        <f t="shared" si="3"/>
        <v>24</v>
      </c>
      <c r="E17" s="17">
        <f t="shared" si="4"/>
        <v>23.16666667</v>
      </c>
      <c r="F17" s="17">
        <v>23.0</v>
      </c>
      <c r="G17" s="17">
        <v>23.0</v>
      </c>
      <c r="H17" s="17">
        <v>24.0</v>
      </c>
      <c r="I17" s="17">
        <f t="shared" si="5"/>
        <v>48</v>
      </c>
      <c r="J17" s="17">
        <f t="shared" si="6"/>
        <v>0.1616351939</v>
      </c>
      <c r="K17" s="17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7">
        <f t="shared" si="2"/>
        <v>21.41140042</v>
      </c>
      <c r="D18" s="17">
        <f t="shared" si="3"/>
        <v>21.5</v>
      </c>
      <c r="E18" s="17">
        <f t="shared" si="4"/>
        <v>20.58333333</v>
      </c>
      <c r="F18" s="17">
        <v>20.5</v>
      </c>
      <c r="G18" s="17">
        <v>20.5</v>
      </c>
      <c r="H18" s="17">
        <v>21.0</v>
      </c>
      <c r="I18" s="17">
        <f t="shared" si="5"/>
        <v>42</v>
      </c>
      <c r="J18" s="17">
        <f t="shared" si="6"/>
        <v>0.822800843</v>
      </c>
      <c r="K18" s="17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7">
        <f t="shared" si="2"/>
        <v>19.1008101</v>
      </c>
      <c r="D19" s="17">
        <f t="shared" si="3"/>
        <v>19</v>
      </c>
      <c r="E19" s="17">
        <f t="shared" si="4"/>
        <v>19</v>
      </c>
      <c r="F19" s="17">
        <v>19.0</v>
      </c>
      <c r="G19" s="17">
        <v>19.0</v>
      </c>
      <c r="H19" s="17">
        <v>19.0</v>
      </c>
      <c r="I19" s="17">
        <f t="shared" si="5"/>
        <v>38</v>
      </c>
      <c r="J19" s="17">
        <f t="shared" si="6"/>
        <v>0.2016202047</v>
      </c>
      <c r="K19" s="17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7">
        <f t="shared" si="2"/>
        <v>17.59752889</v>
      </c>
      <c r="D20" s="17">
        <f t="shared" si="3"/>
        <v>17.5</v>
      </c>
      <c r="E20" s="17">
        <f t="shared" si="4"/>
        <v>17.41666667</v>
      </c>
      <c r="F20" s="17">
        <v>17.5</v>
      </c>
      <c r="G20" s="17">
        <v>17.0</v>
      </c>
      <c r="H20" s="17">
        <v>17.5</v>
      </c>
      <c r="I20" s="17">
        <f t="shared" si="5"/>
        <v>35</v>
      </c>
      <c r="J20" s="17">
        <f t="shared" si="6"/>
        <v>0.1950577773</v>
      </c>
      <c r="K20" s="17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7">
        <f t="shared" si="2"/>
        <v>16.03902814</v>
      </c>
      <c r="D21" s="17">
        <f t="shared" si="3"/>
        <v>16</v>
      </c>
      <c r="E21" s="17">
        <f t="shared" si="4"/>
        <v>15.91666667</v>
      </c>
      <c r="F21" s="17">
        <v>16.0</v>
      </c>
      <c r="G21" s="17">
        <v>15.5</v>
      </c>
      <c r="H21" s="17">
        <v>16.0</v>
      </c>
      <c r="I21" s="17">
        <f t="shared" si="5"/>
        <v>32</v>
      </c>
      <c r="J21" s="17">
        <f t="shared" si="6"/>
        <v>0.07805628365</v>
      </c>
      <c r="K21" s="17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7">
        <f t="shared" si="2"/>
        <v>14.10063305</v>
      </c>
      <c r="D22" s="17">
        <f t="shared" si="3"/>
        <v>14</v>
      </c>
      <c r="E22" s="17">
        <f t="shared" si="4"/>
        <v>14</v>
      </c>
      <c r="F22" s="17">
        <v>14.0</v>
      </c>
      <c r="G22" s="17">
        <v>14.0</v>
      </c>
      <c r="H22" s="17">
        <v>14.0</v>
      </c>
      <c r="I22" s="17">
        <f t="shared" si="5"/>
        <v>28</v>
      </c>
      <c r="J22" s="17">
        <f t="shared" si="6"/>
        <v>0.2012660994</v>
      </c>
      <c r="K22" s="17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7">
        <f t="shared" si="2"/>
        <v>13.23457043</v>
      </c>
      <c r="D23" s="17">
        <f t="shared" si="3"/>
        <v>13.5</v>
      </c>
      <c r="E23" s="17">
        <f t="shared" si="4"/>
        <v>12.83333333</v>
      </c>
      <c r="F23" s="17">
        <v>13.0</v>
      </c>
      <c r="G23" s="17">
        <v>12.0</v>
      </c>
      <c r="H23" s="17">
        <v>13.0</v>
      </c>
      <c r="I23" s="17">
        <f t="shared" si="5"/>
        <v>26</v>
      </c>
      <c r="J23" s="17">
        <f t="shared" si="6"/>
        <v>0.4691408519</v>
      </c>
      <c r="K23" s="17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7">
        <f t="shared" si="2"/>
        <v>10.89260152</v>
      </c>
      <c r="D24" s="17">
        <f t="shared" si="3"/>
        <v>11</v>
      </c>
      <c r="E24" s="17">
        <f t="shared" si="4"/>
        <v>11.16666667</v>
      </c>
      <c r="F24" s="17">
        <v>12.0</v>
      </c>
      <c r="G24" s="17">
        <v>11.0</v>
      </c>
      <c r="H24" s="17">
        <v>11.0</v>
      </c>
      <c r="I24" s="17">
        <f t="shared" si="5"/>
        <v>21</v>
      </c>
      <c r="J24" s="17">
        <f t="shared" si="6"/>
        <v>0.7852030339</v>
      </c>
      <c r="K24" s="17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7">
        <f t="shared" si="2"/>
        <v>9.905835639</v>
      </c>
      <c r="D25" s="17">
        <f t="shared" si="3"/>
        <v>10</v>
      </c>
      <c r="E25" s="17">
        <f t="shared" si="4"/>
        <v>10.5</v>
      </c>
      <c r="F25" s="17">
        <v>11.0</v>
      </c>
      <c r="G25" s="17">
        <v>10.5</v>
      </c>
      <c r="H25" s="17">
        <v>10.0</v>
      </c>
      <c r="I25" s="17">
        <f t="shared" si="5"/>
        <v>19</v>
      </c>
      <c r="J25" s="17">
        <f t="shared" si="6"/>
        <v>0.8116712781</v>
      </c>
      <c r="K25" s="17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7">
        <f t="shared" si="2"/>
        <v>9.676955496</v>
      </c>
      <c r="D26" s="17">
        <f t="shared" si="3"/>
        <v>9.5</v>
      </c>
      <c r="E26" s="17">
        <f t="shared" si="4"/>
        <v>9.583333333</v>
      </c>
      <c r="F26" s="17">
        <v>10.0</v>
      </c>
      <c r="G26" s="17">
        <v>9.5</v>
      </c>
      <c r="H26" s="17">
        <v>9.5</v>
      </c>
      <c r="I26" s="17">
        <f t="shared" si="5"/>
        <v>19</v>
      </c>
      <c r="J26" s="17">
        <f t="shared" si="6"/>
        <v>0.3539109913</v>
      </c>
      <c r="K26" s="17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7">
        <f t="shared" si="2"/>
        <v>8.968058117</v>
      </c>
      <c r="D27" s="17">
        <f t="shared" si="3"/>
        <v>9</v>
      </c>
      <c r="E27" s="17">
        <f t="shared" si="4"/>
        <v>9</v>
      </c>
      <c r="F27" s="17">
        <v>9.0</v>
      </c>
      <c r="G27" s="17">
        <v>9.0</v>
      </c>
      <c r="H27" s="17">
        <v>9.0</v>
      </c>
      <c r="I27" s="17">
        <f t="shared" si="5"/>
        <v>17</v>
      </c>
      <c r="J27" s="17">
        <f t="shared" si="6"/>
        <v>0.9361162335</v>
      </c>
      <c r="K27" s="17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7">
        <f t="shared" si="2"/>
        <v>7.113608108</v>
      </c>
      <c r="D28" s="17">
        <f t="shared" si="3"/>
        <v>7</v>
      </c>
      <c r="E28" s="17">
        <f t="shared" si="4"/>
        <v>7.916666667</v>
      </c>
      <c r="F28" s="17">
        <v>8.5</v>
      </c>
      <c r="G28" s="17">
        <v>8.0</v>
      </c>
      <c r="H28" s="17">
        <v>7.0</v>
      </c>
      <c r="I28" s="17">
        <f t="shared" si="5"/>
        <v>14</v>
      </c>
      <c r="J28" s="17">
        <f t="shared" si="6"/>
        <v>0.227216216</v>
      </c>
      <c r="K28" s="17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7">
        <f t="shared" si="2"/>
        <v>6.977042416</v>
      </c>
      <c r="D29" s="17">
        <f t="shared" si="3"/>
        <v>7</v>
      </c>
      <c r="E29" s="17">
        <f t="shared" si="4"/>
        <v>7.416666667</v>
      </c>
      <c r="F29" s="17">
        <v>7.5</v>
      </c>
      <c r="G29" s="17">
        <v>7.5</v>
      </c>
      <c r="H29" s="17">
        <v>7.0</v>
      </c>
      <c r="I29" s="17">
        <f t="shared" si="5"/>
        <v>13</v>
      </c>
      <c r="J29" s="17">
        <f t="shared" si="6"/>
        <v>0.9540848326</v>
      </c>
      <c r="K29" s="17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7">
        <f t="shared" si="2"/>
        <v>6.589638694</v>
      </c>
      <c r="D30" s="17">
        <f t="shared" si="3"/>
        <v>6.5</v>
      </c>
      <c r="E30" s="17">
        <f t="shared" si="4"/>
        <v>6.916666667</v>
      </c>
      <c r="F30" s="17">
        <v>7.0</v>
      </c>
      <c r="G30" s="17">
        <v>7.0</v>
      </c>
      <c r="H30" s="17">
        <v>6.5</v>
      </c>
      <c r="I30" s="17">
        <f t="shared" si="5"/>
        <v>13</v>
      </c>
      <c r="J30" s="17">
        <f t="shared" si="6"/>
        <v>0.1792773885</v>
      </c>
      <c r="K30" s="17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7">
        <f t="shared" si="2"/>
        <v>6.450624078</v>
      </c>
      <c r="D31" s="17">
        <f t="shared" si="3"/>
        <v>6.5</v>
      </c>
      <c r="E31" s="17">
        <f t="shared" si="4"/>
        <v>6.5</v>
      </c>
      <c r="F31" s="17">
        <v>6.5</v>
      </c>
      <c r="G31" s="17">
        <v>6.5</v>
      </c>
      <c r="H31" s="17">
        <v>6.5</v>
      </c>
      <c r="I31" s="17">
        <f t="shared" si="5"/>
        <v>12</v>
      </c>
      <c r="J31" s="17">
        <f t="shared" si="6"/>
        <v>0.9012481555</v>
      </c>
      <c r="K31" s="17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7">
        <f t="shared" si="2"/>
        <v>5.683565019</v>
      </c>
      <c r="D32" s="17">
        <f t="shared" si="3"/>
        <v>5.5</v>
      </c>
      <c r="E32" s="17">
        <f t="shared" si="4"/>
        <v>5.583333333</v>
      </c>
      <c r="F32" s="17">
        <v>6.0</v>
      </c>
      <c r="G32" s="17">
        <v>5.5</v>
      </c>
      <c r="H32" s="17">
        <v>5.5</v>
      </c>
      <c r="I32" s="17">
        <f t="shared" si="5"/>
        <v>11</v>
      </c>
      <c r="J32" s="17">
        <f t="shared" si="6"/>
        <v>0.3671300387</v>
      </c>
      <c r="K32" s="17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7">
        <f t="shared" si="2"/>
        <v>5.264829603</v>
      </c>
      <c r="D33" s="17">
        <f t="shared" si="3"/>
        <v>5.5</v>
      </c>
      <c r="E33" s="17">
        <f t="shared" si="4"/>
        <v>5.083333333</v>
      </c>
      <c r="F33" s="17">
        <v>5.5</v>
      </c>
      <c r="G33" s="17">
        <v>5.0</v>
      </c>
      <c r="H33" s="17">
        <v>5.0</v>
      </c>
      <c r="I33" s="17">
        <f t="shared" si="5"/>
        <v>10</v>
      </c>
      <c r="J33" s="17">
        <f t="shared" si="6"/>
        <v>0.5296592069</v>
      </c>
      <c r="K33" s="17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7">
        <f t="shared" si="2"/>
        <v>4.508206737</v>
      </c>
      <c r="D34" s="17">
        <f t="shared" si="3"/>
        <v>4.5</v>
      </c>
      <c r="E34" s="17">
        <f t="shared" si="4"/>
        <v>4.583333333</v>
      </c>
      <c r="F34" s="17">
        <v>5.0</v>
      </c>
      <c r="G34" s="17">
        <v>4.5</v>
      </c>
      <c r="H34" s="17">
        <v>4.5</v>
      </c>
      <c r="I34" s="17">
        <f t="shared" si="5"/>
        <v>9</v>
      </c>
      <c r="J34" s="17">
        <f t="shared" si="6"/>
        <v>0.01641347439</v>
      </c>
      <c r="K34" s="17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7">
        <f t="shared" si="2"/>
        <v>4.49906056</v>
      </c>
      <c r="D35" s="17">
        <f t="shared" si="3"/>
        <v>4.5</v>
      </c>
      <c r="E35" s="17">
        <f t="shared" si="4"/>
        <v>4.5</v>
      </c>
      <c r="F35" s="17">
        <v>4.5</v>
      </c>
      <c r="G35" s="17">
        <v>4.5</v>
      </c>
      <c r="H35" s="17">
        <v>4.5</v>
      </c>
      <c r="I35" s="17">
        <f t="shared" si="5"/>
        <v>8</v>
      </c>
      <c r="J35" s="17">
        <f t="shared" si="6"/>
        <v>0.9981211193</v>
      </c>
      <c r="K35" s="17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7">
        <f t="shared" si="2"/>
        <v>4.397062142</v>
      </c>
      <c r="D36" s="17">
        <f t="shared" si="3"/>
        <v>4.5</v>
      </c>
      <c r="E36" s="17">
        <f t="shared" si="4"/>
        <v>4.083333333</v>
      </c>
      <c r="F36" s="17">
        <v>4.0</v>
      </c>
      <c r="G36" s="17">
        <v>4.0</v>
      </c>
      <c r="H36" s="17">
        <v>4.5</v>
      </c>
      <c r="I36" s="17">
        <f t="shared" si="5"/>
        <v>8</v>
      </c>
      <c r="J36" s="17">
        <f t="shared" si="6"/>
        <v>0.7941242844</v>
      </c>
      <c r="K36" s="17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7">
        <f t="shared" si="2"/>
        <v>3.85271165</v>
      </c>
      <c r="D37" s="17">
        <f t="shared" si="3"/>
        <v>4</v>
      </c>
      <c r="E37" s="17">
        <f t="shared" si="4"/>
        <v>4</v>
      </c>
      <c r="F37" s="17">
        <v>4.0</v>
      </c>
      <c r="G37" s="17">
        <v>4.0</v>
      </c>
      <c r="H37" s="17">
        <v>4.0</v>
      </c>
      <c r="I37" s="17">
        <f t="shared" si="5"/>
        <v>7</v>
      </c>
      <c r="J37" s="17">
        <f t="shared" si="6"/>
        <v>0.7054232997</v>
      </c>
      <c r="K37" s="17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7">
        <f t="shared" si="2"/>
        <v>3.445464994</v>
      </c>
      <c r="D38" s="17">
        <f t="shared" si="3"/>
        <v>3.5</v>
      </c>
      <c r="E38" s="17">
        <f t="shared" si="4"/>
        <v>3.5</v>
      </c>
      <c r="F38" s="17">
        <v>3.5</v>
      </c>
      <c r="G38" s="17">
        <v>3.5</v>
      </c>
      <c r="H38" s="17">
        <v>3.5</v>
      </c>
      <c r="I38" s="17">
        <f t="shared" si="5"/>
        <v>6</v>
      </c>
      <c r="J38" s="17">
        <f t="shared" si="6"/>
        <v>0.8909299877</v>
      </c>
      <c r="K38" s="17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7">
        <f t="shared" si="2"/>
        <v>3.462208651</v>
      </c>
      <c r="D39" s="17">
        <f t="shared" si="3"/>
        <v>3.5</v>
      </c>
      <c r="E39" s="17">
        <f t="shared" si="4"/>
        <v>3.5</v>
      </c>
      <c r="F39" s="17">
        <v>3.5</v>
      </c>
      <c r="G39" s="17">
        <v>3.5</v>
      </c>
      <c r="H39" s="17">
        <v>3.5</v>
      </c>
      <c r="I39" s="17">
        <f t="shared" si="5"/>
        <v>6</v>
      </c>
      <c r="J39" s="17">
        <f t="shared" si="6"/>
        <v>0.9244173029</v>
      </c>
      <c r="K39" s="17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7">
        <f t="shared" si="2"/>
        <v>3.145261583</v>
      </c>
      <c r="D40" s="17">
        <f t="shared" si="3"/>
        <v>3</v>
      </c>
      <c r="E40" s="17">
        <f t="shared" si="4"/>
        <v>3</v>
      </c>
      <c r="F40" s="17">
        <v>3.0</v>
      </c>
      <c r="G40" s="17">
        <v>3.0</v>
      </c>
      <c r="H40" s="17">
        <v>3.0</v>
      </c>
      <c r="I40" s="17">
        <f t="shared" si="5"/>
        <v>6</v>
      </c>
      <c r="J40" s="17">
        <f t="shared" si="6"/>
        <v>0.2905231659</v>
      </c>
      <c r="K40" s="17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7">
        <f t="shared" si="2"/>
        <v>3.031451302</v>
      </c>
      <c r="D41" s="17">
        <f t="shared" si="3"/>
        <v>3</v>
      </c>
      <c r="E41" s="17">
        <f t="shared" si="4"/>
        <v>3</v>
      </c>
      <c r="F41" s="17">
        <v>3.0</v>
      </c>
      <c r="G41" s="17">
        <v>3.0</v>
      </c>
      <c r="H41" s="17">
        <v>3.0</v>
      </c>
      <c r="I41" s="17">
        <f t="shared" si="5"/>
        <v>6</v>
      </c>
      <c r="J41" s="17">
        <f t="shared" si="6"/>
        <v>0.06290260374</v>
      </c>
      <c r="K41" s="17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7">
        <f t="shared" si="2"/>
        <v>2.89515157</v>
      </c>
      <c r="D42" s="17">
        <f t="shared" si="3"/>
        <v>3</v>
      </c>
      <c r="E42" s="17">
        <f t="shared" si="4"/>
        <v>2.916666667</v>
      </c>
      <c r="F42" s="17">
        <v>3.0</v>
      </c>
      <c r="G42" s="17">
        <v>2.5</v>
      </c>
      <c r="H42" s="17">
        <v>3.0</v>
      </c>
      <c r="I42" s="17">
        <f t="shared" si="5"/>
        <v>5</v>
      </c>
      <c r="J42" s="17">
        <f t="shared" si="6"/>
        <v>0.7903031391</v>
      </c>
      <c r="K42" s="17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7">
        <f t="shared" si="2"/>
        <v>2.382690198</v>
      </c>
      <c r="D43" s="17">
        <f t="shared" si="3"/>
        <v>2.5</v>
      </c>
      <c r="E43" s="17">
        <f t="shared" si="4"/>
        <v>2.5</v>
      </c>
      <c r="F43" s="17">
        <v>2.5</v>
      </c>
      <c r="G43" s="17">
        <v>2.5</v>
      </c>
      <c r="H43" s="17">
        <v>2.5</v>
      </c>
      <c r="I43" s="17">
        <f t="shared" si="5"/>
        <v>4</v>
      </c>
      <c r="J43" s="17">
        <f t="shared" si="6"/>
        <v>0.7653803953</v>
      </c>
      <c r="K43" s="17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7">
        <f t="shared" si="2"/>
        <v>2.518944323</v>
      </c>
      <c r="D44" s="17">
        <f t="shared" si="3"/>
        <v>2.5</v>
      </c>
      <c r="E44" s="17">
        <f t="shared" si="4"/>
        <v>2.5</v>
      </c>
      <c r="F44" s="17">
        <v>2.5</v>
      </c>
      <c r="G44" s="17">
        <v>2.5</v>
      </c>
      <c r="H44" s="17">
        <v>2.5</v>
      </c>
      <c r="I44" s="17">
        <f t="shared" si="5"/>
        <v>5</v>
      </c>
      <c r="J44" s="17">
        <f t="shared" si="6"/>
        <v>0.03788864638</v>
      </c>
      <c r="K44" s="17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7">
        <f t="shared" si="2"/>
        <v>2.446750784</v>
      </c>
      <c r="D45" s="17">
        <f t="shared" si="3"/>
        <v>2.5</v>
      </c>
      <c r="E45" s="17">
        <f t="shared" si="4"/>
        <v>2.5</v>
      </c>
      <c r="F45" s="17">
        <v>2.5</v>
      </c>
      <c r="G45" s="17">
        <v>2.5</v>
      </c>
      <c r="H45" s="17">
        <v>2.5</v>
      </c>
      <c r="I45" s="17">
        <f t="shared" si="5"/>
        <v>4</v>
      </c>
      <c r="J45" s="17">
        <f t="shared" si="6"/>
        <v>0.893501569</v>
      </c>
      <c r="K45" s="17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7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7">
        <f t="shared" si="2"/>
        <v>2.179728789</v>
      </c>
      <c r="D46" s="17">
        <f t="shared" si="3"/>
        <v>2</v>
      </c>
      <c r="E46" s="17">
        <f t="shared" si="4"/>
        <v>2</v>
      </c>
      <c r="F46" s="17">
        <v>2.0</v>
      </c>
      <c r="G46" s="17">
        <v>2.0</v>
      </c>
      <c r="H46" s="17">
        <v>2.0</v>
      </c>
      <c r="I46" s="17">
        <f t="shared" si="5"/>
        <v>4</v>
      </c>
      <c r="J46" s="17">
        <f t="shared" si="6"/>
        <v>0.3594575775</v>
      </c>
      <c r="K46" s="17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7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7">
        <f t="shared" si="2"/>
        <v>2.117023349</v>
      </c>
      <c r="D47" s="17">
        <f t="shared" si="3"/>
        <v>2</v>
      </c>
      <c r="E47" s="17">
        <f t="shared" si="4"/>
        <v>2</v>
      </c>
      <c r="F47" s="17">
        <v>2.0</v>
      </c>
      <c r="G47" s="17">
        <v>2.0</v>
      </c>
      <c r="H47" s="17">
        <v>2.0</v>
      </c>
      <c r="I47" s="17">
        <f t="shared" si="5"/>
        <v>4</v>
      </c>
      <c r="J47" s="17">
        <f t="shared" si="6"/>
        <v>0.2340466986</v>
      </c>
      <c r="K47" s="17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7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7">
        <f t="shared" si="2"/>
        <v>2.057608058</v>
      </c>
      <c r="D48" s="17">
        <f t="shared" si="3"/>
        <v>2</v>
      </c>
      <c r="E48" s="17">
        <f t="shared" si="4"/>
        <v>2</v>
      </c>
      <c r="F48" s="17">
        <v>2.0</v>
      </c>
      <c r="G48" s="17">
        <v>2.0</v>
      </c>
      <c r="H48" s="17">
        <v>2.0</v>
      </c>
      <c r="I48" s="17">
        <f t="shared" si="5"/>
        <v>4</v>
      </c>
      <c r="J48" s="17">
        <f t="shared" si="6"/>
        <v>0.1152161166</v>
      </c>
      <c r="K48" s="17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7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7">
        <f t="shared" si="2"/>
        <v>2.004014444</v>
      </c>
      <c r="D49" s="17">
        <f t="shared" si="3"/>
        <v>2</v>
      </c>
      <c r="E49" s="17">
        <f t="shared" si="4"/>
        <v>2</v>
      </c>
      <c r="F49" s="17">
        <v>2.0</v>
      </c>
      <c r="G49" s="17">
        <v>2.0</v>
      </c>
      <c r="H49" s="17">
        <v>2.0</v>
      </c>
      <c r="I49" s="17">
        <f t="shared" si="5"/>
        <v>4</v>
      </c>
      <c r="J49" s="17">
        <f t="shared" si="6"/>
        <v>0.008028888223</v>
      </c>
      <c r="K49" s="17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7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7">
        <f t="shared" si="2"/>
        <v>2.957381425</v>
      </c>
      <c r="D50" s="17">
        <f t="shared" si="3"/>
        <v>2</v>
      </c>
      <c r="E50" s="17">
        <f t="shared" si="4"/>
        <v>2</v>
      </c>
      <c r="F50" s="17">
        <v>2.0</v>
      </c>
      <c r="G50" s="17">
        <v>2.0</v>
      </c>
      <c r="H50" s="17">
        <v>2.0</v>
      </c>
      <c r="I50" s="17">
        <f t="shared" si="5"/>
        <v>5</v>
      </c>
      <c r="J50" s="17">
        <f t="shared" si="6"/>
        <v>0.9147628497</v>
      </c>
      <c r="K50" s="17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7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7">
        <f t="shared" si="2"/>
        <v>2.914055633</v>
      </c>
      <c r="D51" s="17">
        <f t="shared" si="3"/>
        <v>2</v>
      </c>
      <c r="E51" s="17">
        <f t="shared" si="4"/>
        <v>2</v>
      </c>
      <c r="F51" s="17">
        <v>2.0</v>
      </c>
      <c r="G51" s="17">
        <v>2.0</v>
      </c>
      <c r="H51" s="17">
        <v>2.0</v>
      </c>
      <c r="I51" s="17">
        <f t="shared" si="5"/>
        <v>5</v>
      </c>
      <c r="J51" s="17">
        <f t="shared" si="6"/>
        <v>0.8281112665</v>
      </c>
      <c r="K51" s="17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7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7">
        <f t="shared" si="2"/>
        <v>2.807418289</v>
      </c>
      <c r="D52" s="17">
        <f t="shared" si="3"/>
        <v>2</v>
      </c>
      <c r="E52" s="17">
        <f t="shared" si="4"/>
        <v>2</v>
      </c>
      <c r="F52" s="17">
        <v>2.0</v>
      </c>
      <c r="G52" s="17">
        <v>2.0</v>
      </c>
      <c r="H52" s="17">
        <v>2.0</v>
      </c>
      <c r="I52" s="17">
        <f t="shared" si="5"/>
        <v>5</v>
      </c>
      <c r="J52" s="17">
        <f t="shared" si="6"/>
        <v>0.6148365775</v>
      </c>
      <c r="K52" s="17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7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7">
        <f t="shared" si="2"/>
        <v>2.712960983</v>
      </c>
      <c r="D53" s="17">
        <f t="shared" si="3"/>
        <v>2</v>
      </c>
      <c r="E53" s="17">
        <f t="shared" si="4"/>
        <v>2</v>
      </c>
      <c r="F53" s="17">
        <v>2.0</v>
      </c>
      <c r="G53" s="17">
        <v>2.0</v>
      </c>
      <c r="H53" s="17">
        <v>2.0</v>
      </c>
      <c r="I53" s="17">
        <f t="shared" si="5"/>
        <v>5</v>
      </c>
      <c r="J53" s="17">
        <f t="shared" si="6"/>
        <v>0.4259219666</v>
      </c>
      <c r="K53" s="17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7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7">
        <f t="shared" si="2"/>
        <v>2.699292805</v>
      </c>
      <c r="D54" s="17">
        <f t="shared" si="3"/>
        <v>2</v>
      </c>
      <c r="E54" s="17">
        <f t="shared" si="4"/>
        <v>2</v>
      </c>
      <c r="F54" s="17">
        <v>2.0</v>
      </c>
      <c r="G54" s="17">
        <v>2.0</v>
      </c>
      <c r="H54" s="17">
        <v>2.0</v>
      </c>
      <c r="I54" s="17">
        <f t="shared" si="5"/>
        <v>5</v>
      </c>
      <c r="J54" s="17">
        <f t="shared" si="6"/>
        <v>0.3985856107</v>
      </c>
      <c r="K54" s="17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7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7">
        <f t="shared" si="2"/>
        <v>2.665566784</v>
      </c>
      <c r="D55" s="17">
        <f t="shared" si="3"/>
        <v>2</v>
      </c>
      <c r="E55" s="17">
        <f t="shared" si="4"/>
        <v>2</v>
      </c>
      <c r="F55" s="17">
        <v>2.0</v>
      </c>
      <c r="G55" s="17">
        <v>2.0</v>
      </c>
      <c r="H55" s="17">
        <v>2.0</v>
      </c>
      <c r="I55" s="17">
        <f t="shared" si="5"/>
        <v>5</v>
      </c>
      <c r="J55" s="17">
        <f t="shared" si="6"/>
        <v>0.331133568</v>
      </c>
      <c r="K55" s="17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7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7">
        <f t="shared" si="2"/>
        <v>2.69423619</v>
      </c>
      <c r="D56" s="17">
        <f t="shared" si="3"/>
        <v>2</v>
      </c>
      <c r="E56" s="17">
        <f t="shared" si="4"/>
        <v>2</v>
      </c>
      <c r="F56" s="17">
        <v>2.0</v>
      </c>
      <c r="G56" s="17">
        <v>2.0</v>
      </c>
      <c r="H56" s="17">
        <v>2.0</v>
      </c>
      <c r="I56" s="17">
        <f t="shared" si="5"/>
        <v>5</v>
      </c>
      <c r="J56" s="17">
        <f t="shared" si="6"/>
        <v>0.3884723806</v>
      </c>
      <c r="K56" s="17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7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7">
        <f t="shared" si="2"/>
        <v>2.668878462</v>
      </c>
      <c r="D57" s="17">
        <f t="shared" si="3"/>
        <v>2</v>
      </c>
      <c r="E57" s="17">
        <f t="shared" si="4"/>
        <v>2</v>
      </c>
      <c r="F57" s="17">
        <v>2.0</v>
      </c>
      <c r="G57" s="17">
        <v>2.0</v>
      </c>
      <c r="H57" s="17">
        <v>2.0</v>
      </c>
      <c r="I57" s="17">
        <f t="shared" si="5"/>
        <v>5</v>
      </c>
      <c r="J57" s="17">
        <f t="shared" si="6"/>
        <v>0.3377569237</v>
      </c>
      <c r="K57" s="17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7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7">
        <f t="shared" si="2"/>
        <v>2.597695614</v>
      </c>
      <c r="D58" s="17">
        <f t="shared" si="3"/>
        <v>2</v>
      </c>
      <c r="E58" s="17">
        <f t="shared" si="4"/>
        <v>2</v>
      </c>
      <c r="F58" s="17">
        <v>2.0</v>
      </c>
      <c r="G58" s="17">
        <v>2.0</v>
      </c>
      <c r="H58" s="17">
        <v>2.0</v>
      </c>
      <c r="I58" s="17">
        <f t="shared" si="5"/>
        <v>5</v>
      </c>
      <c r="J58" s="17">
        <f t="shared" si="6"/>
        <v>0.1953912284</v>
      </c>
      <c r="K58" s="17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7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7">
        <f t="shared" si="2"/>
        <v>2.579699096</v>
      </c>
      <c r="D59" s="17">
        <f t="shared" si="3"/>
        <v>2</v>
      </c>
      <c r="E59" s="17">
        <f t="shared" si="4"/>
        <v>2</v>
      </c>
      <c r="F59" s="17">
        <v>2.0</v>
      </c>
      <c r="G59" s="17">
        <v>2.0</v>
      </c>
      <c r="H59" s="17">
        <v>2.0</v>
      </c>
      <c r="I59" s="17">
        <f t="shared" si="5"/>
        <v>5</v>
      </c>
      <c r="J59" s="17">
        <f t="shared" si="6"/>
        <v>0.1593981921</v>
      </c>
      <c r="K59" s="17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7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7">
        <f t="shared" si="2"/>
        <v>2.561705025</v>
      </c>
      <c r="D60" s="17">
        <f t="shared" si="3"/>
        <v>2</v>
      </c>
      <c r="E60" s="17">
        <f t="shared" si="4"/>
        <v>2</v>
      </c>
      <c r="F60" s="17">
        <v>2.0</v>
      </c>
      <c r="G60" s="17">
        <v>2.0</v>
      </c>
      <c r="H60" s="17">
        <v>2.0</v>
      </c>
      <c r="I60" s="17">
        <f t="shared" si="5"/>
        <v>5</v>
      </c>
      <c r="J60" s="17">
        <f t="shared" si="6"/>
        <v>0.1234100499</v>
      </c>
      <c r="K60" s="17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7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7">
        <f t="shared" si="2"/>
        <v>2.548915241</v>
      </c>
      <c r="D61" s="17">
        <f t="shared" si="3"/>
        <v>2</v>
      </c>
      <c r="E61" s="17">
        <f t="shared" si="4"/>
        <v>2</v>
      </c>
      <c r="F61" s="17">
        <v>2.0</v>
      </c>
      <c r="G61" s="17">
        <v>2.0</v>
      </c>
      <c r="H61" s="17">
        <v>2.0</v>
      </c>
      <c r="I61" s="17">
        <f t="shared" si="5"/>
        <v>5</v>
      </c>
      <c r="J61" s="17">
        <f t="shared" si="6"/>
        <v>0.09783048196</v>
      </c>
      <c r="K61" s="17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7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7">
        <f t="shared" si="2"/>
        <v>1.140117313</v>
      </c>
      <c r="D62" s="17">
        <f t="shared" si="3"/>
        <v>1</v>
      </c>
      <c r="E62" s="17">
        <f t="shared" si="4"/>
        <v>1</v>
      </c>
      <c r="F62" s="17">
        <v>1.0</v>
      </c>
      <c r="G62" s="17">
        <v>1.0</v>
      </c>
      <c r="H62" s="17">
        <v>1.0</v>
      </c>
      <c r="I62" s="17">
        <f t="shared" si="5"/>
        <v>2</v>
      </c>
      <c r="J62" s="17">
        <f t="shared" si="6"/>
        <v>0.2802346254</v>
      </c>
      <c r="K62" s="17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7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7">
        <f t="shared" si="2"/>
        <v>1.129243371</v>
      </c>
      <c r="D63" s="17">
        <f t="shared" si="3"/>
        <v>1</v>
      </c>
      <c r="E63" s="17">
        <f t="shared" si="4"/>
        <v>1</v>
      </c>
      <c r="F63" s="17">
        <v>1.0</v>
      </c>
      <c r="G63" s="17">
        <v>1.0</v>
      </c>
      <c r="H63" s="17">
        <v>1.0</v>
      </c>
      <c r="I63" s="17">
        <f t="shared" si="5"/>
        <v>2</v>
      </c>
      <c r="J63" s="17">
        <f t="shared" si="6"/>
        <v>0.2584867427</v>
      </c>
      <c r="K63" s="17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7">
        <f t="shared" si="20"/>
        <v>17.5</v>
      </c>
      <c r="R63" s="12" t="str">
        <f t="shared" si="21"/>
        <v>Kich</v>
      </c>
      <c r="S63" s="12"/>
      <c r="T63" s="12" t="s">
        <v>133</v>
      </c>
      <c r="U63" s="17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7">
        <f t="shared" si="2"/>
        <v>1.119213009</v>
      </c>
      <c r="D64" s="17">
        <f t="shared" si="3"/>
        <v>1</v>
      </c>
      <c r="E64" s="17">
        <f t="shared" si="4"/>
        <v>1</v>
      </c>
      <c r="F64" s="17">
        <v>1.0</v>
      </c>
      <c r="G64" s="17">
        <v>1.0</v>
      </c>
      <c r="H64" s="17">
        <v>1.0</v>
      </c>
      <c r="I64" s="17">
        <f t="shared" si="5"/>
        <v>2</v>
      </c>
      <c r="J64" s="17">
        <f t="shared" si="6"/>
        <v>0.2384260178</v>
      </c>
      <c r="K64" s="17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7">
        <f t="shared" si="20"/>
        <v>16</v>
      </c>
      <c r="R64" s="12" t="str">
        <f t="shared" si="21"/>
        <v>Ty</v>
      </c>
      <c r="S64" s="12"/>
      <c r="T64" s="12" t="s">
        <v>132</v>
      </c>
      <c r="U64" s="17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7">
        <f t="shared" si="2"/>
        <v>1.10978461</v>
      </c>
      <c r="D65" s="17">
        <f t="shared" si="3"/>
        <v>1</v>
      </c>
      <c r="E65" s="17">
        <f t="shared" si="4"/>
        <v>1</v>
      </c>
      <c r="F65" s="17">
        <v>1.0</v>
      </c>
      <c r="G65" s="17">
        <v>1.0</v>
      </c>
      <c r="H65" s="17">
        <v>1.0</v>
      </c>
      <c r="I65" s="17">
        <f t="shared" si="5"/>
        <v>2</v>
      </c>
      <c r="J65" s="17">
        <f t="shared" si="6"/>
        <v>0.2195692202</v>
      </c>
      <c r="K65" s="17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7">
        <f t="shared" si="20"/>
        <v>14</v>
      </c>
      <c r="R65" s="12" t="str">
        <f t="shared" si="21"/>
        <v>MaKayla</v>
      </c>
      <c r="S65" s="12"/>
      <c r="T65" s="10" t="s">
        <v>131</v>
      </c>
      <c r="U65" s="17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7">
        <f t="shared" si="2"/>
        <v>1.101263826</v>
      </c>
      <c r="D66" s="17">
        <f t="shared" si="3"/>
        <v>1</v>
      </c>
      <c r="E66" s="17">
        <f t="shared" si="4"/>
        <v>1</v>
      </c>
      <c r="F66" s="17">
        <v>1.0</v>
      </c>
      <c r="G66" s="17">
        <v>1.0</v>
      </c>
      <c r="H66" s="17">
        <v>1.0</v>
      </c>
      <c r="I66" s="17">
        <f t="shared" si="5"/>
        <v>2</v>
      </c>
      <c r="J66" s="17">
        <f t="shared" si="6"/>
        <v>0.2025276514</v>
      </c>
      <c r="K66" s="17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7">
        <f t="shared" si="20"/>
        <v>13.5</v>
      </c>
      <c r="R66" s="12" t="str">
        <f t="shared" si="21"/>
        <v>Joey</v>
      </c>
      <c r="S66" s="12"/>
      <c r="T66" s="12" t="s">
        <v>130</v>
      </c>
      <c r="U66" s="17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7">
        <f t="shared" si="2"/>
        <v>1.093404186</v>
      </c>
      <c r="D67" s="17">
        <f t="shared" si="3"/>
        <v>1</v>
      </c>
      <c r="E67" s="17">
        <f t="shared" si="4"/>
        <v>1</v>
      </c>
      <c r="F67" s="17">
        <v>1.0</v>
      </c>
      <c r="G67" s="17">
        <v>1.0</v>
      </c>
      <c r="H67" s="17">
        <v>1.0</v>
      </c>
      <c r="I67" s="17">
        <f t="shared" si="5"/>
        <v>2</v>
      </c>
      <c r="J67" s="17">
        <f t="shared" si="6"/>
        <v>0.1868083716</v>
      </c>
      <c r="K67" s="17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7">
        <f t="shared" si="20"/>
        <v>11</v>
      </c>
      <c r="R67" s="12" t="str">
        <f t="shared" si="21"/>
        <v>Brent</v>
      </c>
      <c r="S67" s="12"/>
      <c r="T67" s="12" t="s">
        <v>129</v>
      </c>
      <c r="U67" s="17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7">
        <f t="shared" si="2"/>
        <v>1.086154418</v>
      </c>
      <c r="D68" s="17">
        <f t="shared" si="3"/>
        <v>1</v>
      </c>
      <c r="E68" s="17">
        <f t="shared" si="4"/>
        <v>1</v>
      </c>
      <c r="F68" s="17">
        <v>1.0</v>
      </c>
      <c r="G68" s="17">
        <v>1.0</v>
      </c>
      <c r="H68" s="17">
        <v>1.0</v>
      </c>
      <c r="I68" s="17">
        <f t="shared" si="5"/>
        <v>2</v>
      </c>
      <c r="J68" s="17">
        <f t="shared" si="6"/>
        <v>0.1723088363</v>
      </c>
      <c r="K68" s="17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7">
        <f t="shared" si="20"/>
        <v>10</v>
      </c>
      <c r="R68" s="12" t="str">
        <f t="shared" si="21"/>
        <v>Ed</v>
      </c>
      <c r="S68" s="12"/>
      <c r="T68" s="12" t="s">
        <v>128</v>
      </c>
      <c r="U68" s="17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7">
        <f t="shared" si="2"/>
        <v>1.079467222</v>
      </c>
      <c r="D69" s="17">
        <f t="shared" si="3"/>
        <v>1</v>
      </c>
      <c r="E69" s="17">
        <f t="shared" si="4"/>
        <v>1</v>
      </c>
      <c r="F69" s="17">
        <v>1.0</v>
      </c>
      <c r="G69" s="17">
        <v>1.0</v>
      </c>
      <c r="H69" s="17">
        <v>1.0</v>
      </c>
      <c r="I69" s="17">
        <f t="shared" si="5"/>
        <v>2</v>
      </c>
      <c r="J69" s="17">
        <f t="shared" si="6"/>
        <v>0.1589344442</v>
      </c>
      <c r="K69" s="17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7">
        <f t="shared" si="20"/>
        <v>9.5</v>
      </c>
      <c r="R69" s="12" t="str">
        <f t="shared" si="21"/>
        <v>Joel</v>
      </c>
      <c r="S69" s="12"/>
      <c r="T69" s="12" t="s">
        <v>127</v>
      </c>
      <c r="U69" s="17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7">
        <f t="shared" si="2"/>
        <v>1.072885511</v>
      </c>
      <c r="D70" s="17">
        <f t="shared" si="3"/>
        <v>1</v>
      </c>
      <c r="E70" s="17">
        <f t="shared" si="4"/>
        <v>1</v>
      </c>
      <c r="F70" s="17">
        <v>1.0</v>
      </c>
      <c r="G70" s="17">
        <v>1.0</v>
      </c>
      <c r="H70" s="17">
        <v>1.0</v>
      </c>
      <c r="I70" s="17">
        <f t="shared" si="5"/>
        <v>2</v>
      </c>
      <c r="J70" s="17">
        <f t="shared" si="6"/>
        <v>0.145771022</v>
      </c>
      <c r="K70" s="17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7">
        <f t="shared" si="20"/>
        <v>9</v>
      </c>
      <c r="R70" s="12" t="str">
        <f t="shared" si="21"/>
        <v>Blaine</v>
      </c>
      <c r="S70" s="12"/>
      <c r="T70" s="12" t="s">
        <v>126</v>
      </c>
      <c r="U70" s="17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7">
        <f t="shared" si="2"/>
        <v>1.066682481</v>
      </c>
      <c r="D71" s="17">
        <f t="shared" si="3"/>
        <v>1</v>
      </c>
      <c r="E71" s="17">
        <f t="shared" si="4"/>
        <v>1</v>
      </c>
      <c r="F71" s="17">
        <v>1.0</v>
      </c>
      <c r="G71" s="17">
        <v>1.0</v>
      </c>
      <c r="H71" s="17">
        <v>1.0</v>
      </c>
      <c r="I71" s="17">
        <f t="shared" si="5"/>
        <v>2</v>
      </c>
      <c r="J71" s="17">
        <f t="shared" si="6"/>
        <v>0.1333649619</v>
      </c>
      <c r="K71" s="17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7">
        <f t="shared" si="20"/>
        <v>7</v>
      </c>
      <c r="R71" s="12" t="str">
        <f t="shared" si="21"/>
        <v>Jason</v>
      </c>
      <c r="S71" s="12"/>
      <c r="T71" s="12" t="s">
        <v>125</v>
      </c>
      <c r="U71" s="17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7">
        <f t="shared" si="2"/>
        <v>1.059895085</v>
      </c>
      <c r="D72" s="17">
        <f t="shared" si="3"/>
        <v>1</v>
      </c>
      <c r="E72" s="17">
        <f t="shared" si="4"/>
        <v>1</v>
      </c>
      <c r="F72" s="17">
        <v>1.0</v>
      </c>
      <c r="G72" s="17">
        <v>1.0</v>
      </c>
      <c r="H72" s="17">
        <v>1.0</v>
      </c>
      <c r="I72" s="17">
        <f t="shared" si="5"/>
        <v>2</v>
      </c>
      <c r="J72" s="17">
        <f t="shared" si="6"/>
        <v>0.1197901701</v>
      </c>
      <c r="K72" s="17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7">
        <f t="shared" si="20"/>
        <v>7</v>
      </c>
      <c r="R72" s="12" t="str">
        <f t="shared" si="21"/>
        <v>Roy</v>
      </c>
      <c r="S72" s="12"/>
      <c r="T72" s="12" t="s">
        <v>124</v>
      </c>
      <c r="U72" s="17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7">
        <f t="shared" si="2"/>
        <v>1.054175312</v>
      </c>
      <c r="D73" s="17">
        <f t="shared" si="3"/>
        <v>1</v>
      </c>
      <c r="E73" s="17">
        <f t="shared" si="4"/>
        <v>1</v>
      </c>
      <c r="F73" s="17">
        <v>1.0</v>
      </c>
      <c r="G73" s="17">
        <v>1.0</v>
      </c>
      <c r="H73" s="17">
        <v>1.0</v>
      </c>
      <c r="I73" s="17">
        <f t="shared" si="5"/>
        <v>2</v>
      </c>
      <c r="J73" s="17">
        <f t="shared" si="6"/>
        <v>0.108350625</v>
      </c>
      <c r="K73" s="17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7">
        <f t="shared" si="20"/>
        <v>6.5</v>
      </c>
      <c r="R73" s="12" t="str">
        <f t="shared" si="21"/>
        <v>Collin</v>
      </c>
      <c r="S73" s="12"/>
      <c r="T73" s="12" t="s">
        <v>123</v>
      </c>
      <c r="U73" s="17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7">
        <f>Sum(D2:D73)</f>
        <v>1200</v>
      </c>
      <c r="E74" s="4"/>
      <c r="F74" s="17">
        <v>1200.0</v>
      </c>
      <c r="G74" s="17">
        <v>1200.0</v>
      </c>
      <c r="H74" s="17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7">
        <f t="shared" si="20"/>
        <v>6.5</v>
      </c>
      <c r="R74" s="12" t="str">
        <f t="shared" si="21"/>
        <v>Eric</v>
      </c>
      <c r="S74" s="12"/>
      <c r="T74" s="12" t="s">
        <v>122</v>
      </c>
      <c r="U74" s="17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7">
        <f t="shared" si="20"/>
        <v>5.5</v>
      </c>
      <c r="R75" s="12" t="str">
        <f t="shared" si="21"/>
        <v>Kich</v>
      </c>
      <c r="S75" s="12"/>
      <c r="T75" s="12"/>
      <c r="U75" s="17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7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7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7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7">
        <f t="shared" si="20"/>
        <v>4.5</v>
      </c>
      <c r="R79" s="12" t="str">
        <f t="shared" si="21"/>
        <v>Brent</v>
      </c>
      <c r="S79" s="12"/>
      <c r="T79" s="12"/>
      <c r="U79" s="17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7">
        <f t="shared" si="20"/>
        <v>4</v>
      </c>
      <c r="R80" s="12" t="str">
        <f t="shared" si="21"/>
        <v>Ed</v>
      </c>
      <c r="S80" s="12"/>
      <c r="T80" s="12"/>
      <c r="U80" s="17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7">
        <f t="shared" si="20"/>
        <v>3.5</v>
      </c>
      <c r="R81" s="12" t="str">
        <f t="shared" si="21"/>
        <v>Joel</v>
      </c>
      <c r="S81" s="12"/>
      <c r="T81" s="12"/>
      <c r="U81" s="17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7">
        <f t="shared" si="20"/>
        <v>3.5</v>
      </c>
      <c r="R82" s="12" t="str">
        <f t="shared" si="21"/>
        <v>Blaine</v>
      </c>
      <c r="S82" s="12"/>
      <c r="T82" s="12"/>
      <c r="U82" s="17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7">
        <f t="shared" si="20"/>
        <v>3</v>
      </c>
      <c r="R83" s="12" t="str">
        <f t="shared" si="21"/>
        <v>Jason</v>
      </c>
      <c r="S83" s="12"/>
      <c r="T83" s="12"/>
      <c r="U83" s="17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7">
        <f t="shared" si="20"/>
        <v>3</v>
      </c>
      <c r="R84" s="12" t="str">
        <f t="shared" si="21"/>
        <v>Roy</v>
      </c>
      <c r="S84" s="12"/>
      <c r="T84" s="12"/>
      <c r="U84" s="17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7">
        <f t="shared" si="20"/>
        <v>3</v>
      </c>
      <c r="R85" s="12" t="str">
        <f t="shared" si="21"/>
        <v>Collin</v>
      </c>
      <c r="S85" s="12"/>
      <c r="T85" s="12"/>
      <c r="U85" s="17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7">
        <f t="shared" si="20"/>
        <v>2.5</v>
      </c>
      <c r="R86" s="12" t="str">
        <f t="shared" si="21"/>
        <v>Eric</v>
      </c>
      <c r="S86" s="12"/>
      <c r="T86" s="12"/>
      <c r="U86" s="17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7">
        <f t="shared" si="20"/>
        <v>2.5</v>
      </c>
      <c r="R87" s="12" t="str">
        <f t="shared" si="21"/>
        <v>Kich</v>
      </c>
      <c r="S87" s="12"/>
      <c r="T87" s="12"/>
      <c r="U87" s="17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7">
        <f t="shared" si="20"/>
        <v>2.5</v>
      </c>
      <c r="R88" s="12" t="str">
        <f t="shared" si="21"/>
        <v>Ty</v>
      </c>
      <c r="S88" s="12"/>
      <c r="T88" s="12"/>
      <c r="U88" s="17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7">
        <f t="shared" si="20"/>
        <v>2</v>
      </c>
      <c r="R89" s="12" t="str">
        <f t="shared" si="21"/>
        <v>MaKayla</v>
      </c>
      <c r="S89" s="12"/>
      <c r="T89" s="12"/>
      <c r="U89" s="17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7">
        <f t="shared" si="20"/>
        <v>2</v>
      </c>
      <c r="R90" s="12" t="str">
        <f t="shared" si="21"/>
        <v>Joey</v>
      </c>
      <c r="S90" s="12"/>
      <c r="T90" s="12"/>
      <c r="U90" s="17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7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7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7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7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7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7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7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7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7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7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7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7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7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7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7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7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7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7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7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7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7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7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7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7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7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7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7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66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68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71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73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70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65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74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0</v>
      </c>
      <c r="B1" s="2" t="s">
        <v>2</v>
      </c>
      <c r="C1" s="2" t="s">
        <v>4</v>
      </c>
      <c r="D1" s="2" t="s">
        <v>5</v>
      </c>
      <c r="E1" s="2" t="s">
        <v>6</v>
      </c>
      <c r="F1" s="5" t="s">
        <v>7</v>
      </c>
      <c r="G1" s="5" t="s">
        <v>10</v>
      </c>
      <c r="H1" s="5" t="s">
        <v>11</v>
      </c>
      <c r="I1" s="2" t="s">
        <v>13</v>
      </c>
      <c r="K1" s="2" t="s">
        <v>14</v>
      </c>
    </row>
    <row r="2">
      <c r="A2" s="2">
        <v>1.0</v>
      </c>
      <c r="B2" s="7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7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7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7" t="s">
        <v>26</v>
      </c>
      <c r="C5" s="9">
        <v>82.5</v>
      </c>
      <c r="E5" s="16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6">
        <f>SUM($D$2:$D$500)
</f>
        <v>0</v>
      </c>
    </row>
    <row r="6">
      <c r="A6" s="2">
        <v>5.0</v>
      </c>
      <c r="B6" s="7" t="s">
        <v>28</v>
      </c>
      <c r="C6" s="9">
        <v>76.0</v>
      </c>
      <c r="E6" s="16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6">
        <f>L2-L5
</f>
        <v>1200</v>
      </c>
    </row>
    <row r="7">
      <c r="A7" s="2">
        <v>6.0</v>
      </c>
      <c r="B7" s="7" t="s">
        <v>30</v>
      </c>
      <c r="C7" s="9">
        <v>66.5</v>
      </c>
      <c r="E7" s="16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6">
        <f>SUMIF($E$2:$E$500,TRUE,$D$2:$D$500)</f>
        <v>0</v>
      </c>
    </row>
    <row r="8">
      <c r="A8" s="2">
        <v>7.0</v>
      </c>
      <c r="B8" s="7" t="s">
        <v>32</v>
      </c>
      <c r="C8" s="9">
        <v>57.5</v>
      </c>
      <c r="E8" s="16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9">
        <f>L4-L7
</f>
        <v>180</v>
      </c>
    </row>
    <row r="9">
      <c r="A9" s="2">
        <v>8.0</v>
      </c>
      <c r="B9" s="7" t="s">
        <v>35</v>
      </c>
      <c r="C9" s="9">
        <v>53.0</v>
      </c>
      <c r="E9" s="16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9">
        <f>L6-L8
</f>
        <v>1020</v>
      </c>
    </row>
    <row r="10">
      <c r="A10" s="2">
        <v>9.0</v>
      </c>
      <c r="B10" s="7" t="s">
        <v>37</v>
      </c>
      <c r="C10" s="9">
        <v>48.0</v>
      </c>
      <c r="E10" s="16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9">
        <f>IF(L3&gt;1,L9/(L3-1),0)</f>
        <v>92.72727273</v>
      </c>
    </row>
    <row r="11">
      <c r="A11" s="2">
        <v>10.0</v>
      </c>
      <c r="B11" s="7" t="s">
        <v>39</v>
      </c>
      <c r="C11" s="9">
        <v>43.0</v>
      </c>
      <c r="E11" s="16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7" t="s">
        <v>41</v>
      </c>
      <c r="C12" s="9">
        <v>39.0</v>
      </c>
      <c r="E12" s="16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7" t="s">
        <v>42</v>
      </c>
      <c r="C13" s="9">
        <v>34.0</v>
      </c>
      <c r="E13" s="16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6">
        <f>SUMIF($D$2:$D$73,"",$C$2:$C$73)</f>
        <v>1200</v>
      </c>
    </row>
    <row r="14">
      <c r="A14" s="2">
        <v>13.0</v>
      </c>
      <c r="B14" s="7" t="s">
        <v>45</v>
      </c>
      <c r="C14" s="9">
        <v>30.5</v>
      </c>
      <c r="E14" s="16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7" t="s">
        <v>47</v>
      </c>
      <c r="C15" s="9">
        <v>27.5</v>
      </c>
      <c r="E15" s="16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7" t="s">
        <v>48</v>
      </c>
      <c r="C16" s="9">
        <v>25.5</v>
      </c>
      <c r="E16" s="16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7" t="s">
        <v>51</v>
      </c>
      <c r="C17" s="9">
        <v>22.5</v>
      </c>
      <c r="E17" s="16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7" t="s">
        <v>52</v>
      </c>
      <c r="C18" s="9">
        <v>20.0</v>
      </c>
      <c r="E18" s="16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7" t="s">
        <v>54</v>
      </c>
      <c r="C19" s="9">
        <v>18.5</v>
      </c>
      <c r="E19" s="16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7" t="s">
        <v>55</v>
      </c>
      <c r="C20" s="9">
        <v>16.5</v>
      </c>
      <c r="E20" s="16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7" t="s">
        <v>56</v>
      </c>
      <c r="C21" s="9">
        <v>14.5</v>
      </c>
      <c r="E21" s="16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7" t="s">
        <v>57</v>
      </c>
      <c r="C22" s="9">
        <v>13.5</v>
      </c>
      <c r="E22" s="16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7" t="s">
        <v>59</v>
      </c>
      <c r="C23" s="9">
        <v>12.0</v>
      </c>
      <c r="E23" s="16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7" t="s">
        <v>60</v>
      </c>
      <c r="C24" s="9">
        <v>11.0</v>
      </c>
      <c r="E24" s="16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7" t="s">
        <v>61</v>
      </c>
      <c r="C25" s="9">
        <v>10.0</v>
      </c>
      <c r="E25" s="16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7" t="s">
        <v>62</v>
      </c>
      <c r="C26" s="9">
        <v>9.5</v>
      </c>
      <c r="E26" s="16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7" t="s">
        <v>63</v>
      </c>
      <c r="C27" s="9">
        <v>8.5</v>
      </c>
      <c r="E27" s="16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7" t="s">
        <v>65</v>
      </c>
      <c r="C28" s="9">
        <v>8.0</v>
      </c>
      <c r="E28" s="16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7" t="s">
        <v>66</v>
      </c>
      <c r="C29" s="9">
        <v>7.0</v>
      </c>
      <c r="E29" s="16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7" t="s">
        <v>68</v>
      </c>
      <c r="C30" s="9">
        <v>6.5</v>
      </c>
      <c r="E30" s="16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7" t="s">
        <v>69</v>
      </c>
      <c r="C31" s="9">
        <v>6.0</v>
      </c>
      <c r="E31" s="16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7" t="s">
        <v>70</v>
      </c>
      <c r="C32" s="9">
        <v>5.5</v>
      </c>
      <c r="E32" s="16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7" t="s">
        <v>71</v>
      </c>
      <c r="C33" s="9">
        <v>5.0</v>
      </c>
      <c r="E33" s="16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7" t="s">
        <v>72</v>
      </c>
      <c r="C34" s="9">
        <v>4.5</v>
      </c>
      <c r="E34" s="16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7" t="s">
        <v>73</v>
      </c>
      <c r="C35" s="9">
        <v>4.5</v>
      </c>
      <c r="E35" s="16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7" t="s">
        <v>74</v>
      </c>
      <c r="C36" s="9">
        <v>4.0</v>
      </c>
      <c r="E36" s="16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7" t="s">
        <v>76</v>
      </c>
      <c r="C37" s="9">
        <v>4.0</v>
      </c>
      <c r="E37" s="16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7" t="s">
        <v>77</v>
      </c>
      <c r="C38" s="9">
        <v>3.5</v>
      </c>
      <c r="E38" s="16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7" t="s">
        <v>78</v>
      </c>
      <c r="C39" s="9">
        <v>3.5</v>
      </c>
      <c r="E39" s="16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7" t="s">
        <v>79</v>
      </c>
      <c r="C40" s="9">
        <v>3.0</v>
      </c>
      <c r="E40" s="16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7" t="s">
        <v>80</v>
      </c>
      <c r="C41" s="9">
        <v>3.0</v>
      </c>
      <c r="E41" s="16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7" t="s">
        <v>81</v>
      </c>
      <c r="C42" s="9">
        <v>2.5</v>
      </c>
      <c r="E42" s="16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7" t="s">
        <v>82</v>
      </c>
      <c r="C43" s="9">
        <v>2.5</v>
      </c>
      <c r="E43" s="16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7" t="s">
        <v>83</v>
      </c>
      <c r="C44" s="9">
        <v>2.5</v>
      </c>
      <c r="E44" s="16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7" t="s">
        <v>84</v>
      </c>
      <c r="C45" s="9">
        <v>2.5</v>
      </c>
      <c r="E45" s="16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7" t="s">
        <v>85</v>
      </c>
      <c r="C46" s="9">
        <v>2.0</v>
      </c>
      <c r="E46" s="16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7" t="s">
        <v>86</v>
      </c>
      <c r="C47" s="9">
        <v>2.0</v>
      </c>
      <c r="E47" s="16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7" t="s">
        <v>87</v>
      </c>
      <c r="C48" s="9">
        <v>2.0</v>
      </c>
      <c r="E48" s="16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7" t="s">
        <v>88</v>
      </c>
      <c r="C49" s="9">
        <v>2.0</v>
      </c>
      <c r="E49" s="16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7" t="s">
        <v>89</v>
      </c>
      <c r="C50" s="9">
        <v>2.0</v>
      </c>
      <c r="E50" s="16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7" t="s">
        <v>90</v>
      </c>
      <c r="C51" s="9">
        <v>2.0</v>
      </c>
      <c r="E51" s="16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7" t="s">
        <v>91</v>
      </c>
      <c r="C52" s="9">
        <v>2.0</v>
      </c>
      <c r="E52" s="16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7" t="s">
        <v>92</v>
      </c>
      <c r="C53" s="9">
        <v>2.0</v>
      </c>
      <c r="E53" s="16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7" t="s">
        <v>93</v>
      </c>
      <c r="C54" s="9">
        <v>2.0</v>
      </c>
      <c r="E54" s="16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7" t="s">
        <v>94</v>
      </c>
      <c r="C55" s="9">
        <v>2.0</v>
      </c>
      <c r="E55" s="16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7" t="s">
        <v>95</v>
      </c>
      <c r="C56" s="9">
        <v>2.0</v>
      </c>
      <c r="E56" s="16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7" t="s">
        <v>96</v>
      </c>
      <c r="C57" s="9">
        <v>2.0</v>
      </c>
      <c r="E57" s="16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7" t="s">
        <v>97</v>
      </c>
      <c r="C58" s="9">
        <v>2.0</v>
      </c>
      <c r="E58" s="16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7" t="s">
        <v>98</v>
      </c>
      <c r="C59" s="9">
        <v>2.0</v>
      </c>
      <c r="E59" s="16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7" t="s">
        <v>99</v>
      </c>
      <c r="C60" s="9">
        <v>2.0</v>
      </c>
      <c r="E60" s="16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7" t="s">
        <v>100</v>
      </c>
      <c r="C61" s="9">
        <v>2.0</v>
      </c>
      <c r="E61" s="16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7" t="s">
        <v>101</v>
      </c>
      <c r="C62" s="9">
        <v>1.0</v>
      </c>
      <c r="E62" s="16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7" t="s">
        <v>102</v>
      </c>
      <c r="C63" s="9">
        <v>1.0</v>
      </c>
      <c r="E63" s="16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7" t="s">
        <v>103</v>
      </c>
      <c r="C64" s="9">
        <v>1.0</v>
      </c>
      <c r="E64" s="16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7" t="s">
        <v>104</v>
      </c>
      <c r="C65" s="9">
        <v>1.0</v>
      </c>
      <c r="E65" s="16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7" t="s">
        <v>105</v>
      </c>
      <c r="C66" s="9">
        <v>1.0</v>
      </c>
      <c r="E66" s="16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7" t="s">
        <v>106</v>
      </c>
      <c r="C67" s="9">
        <v>1.0</v>
      </c>
      <c r="E67" s="16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7" t="s">
        <v>107</v>
      </c>
      <c r="C68" s="9">
        <v>1.0</v>
      </c>
      <c r="E68" s="16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7" t="s">
        <v>108</v>
      </c>
      <c r="C69" s="9">
        <v>1.0</v>
      </c>
      <c r="E69" s="16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7" t="s">
        <v>109</v>
      </c>
      <c r="C70" s="9">
        <v>1.0</v>
      </c>
      <c r="E70" s="16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7" t="s">
        <v>110</v>
      </c>
      <c r="C71" s="9">
        <v>1.0</v>
      </c>
      <c r="E71" s="16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7" t="s">
        <v>111</v>
      </c>
      <c r="C72" s="9">
        <v>1.0</v>
      </c>
      <c r="E72" s="16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9">
        <v>1.0</v>
      </c>
      <c r="E73" s="16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