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<sst xmlns="http://schemas.openxmlformats.org/spreadsheetml/2006/main" count="312" uniqueCount="178">
  <si>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</si>
  <si>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</si>
  <si>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</si>
  <si>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</si>
  <si>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</si>
  <si>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</si>
  <si>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</si>
  <si>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</si>
  <si>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</si>
  <si>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</si>
  <si>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</si>
  <si>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</si>
  <si>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</si>
  <si>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</si>
  <si>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</si>
  <si>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</si>
  <si>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</si>
  <si>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</si>
  <si>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</si>
  <si>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</si>
  <si>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</si>
  <si>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</si>
  <si>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</si>
  <si>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</si>
  <si>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</si>
  <si>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</si>
  <si>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</si>
  <si>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</si>
  <si>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</si>
  <si>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</si>
  <si>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</si>
  <si>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</si>
  <si>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</si>
  <si>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</si>
  <si>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</si>
  <si>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</si>
  <si>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</si>
  <si>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</si>
  <si>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</si>
  <si>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</si>
  <si>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</si>
  <si>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</si>
  <si>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</si>
  <si>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</si>
  <si>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Round 4</t>
  </si>
  <si>
    <t>CJ Allen</t>
  </si>
  <si>
    <t>Undrafted Predraft$</t>
  </si>
  <si>
    <t>Arvell Reese</t>
  </si>
  <si>
    <t>Round 5</t>
  </si>
  <si>
    <t>Inflation Factor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</si>
  <si>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</si>
  <si>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</si>
  <si>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</si>
  <si>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</si>
  <si>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</si>
  <si>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</si>
  <si>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</si>
  <si>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</si>
  <si>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</si>
  <si>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</si>
  <si>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</si>
  <si>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</si>
  <si>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</si>
  <si>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</si>
  <si>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</si>
  <si>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</si>
  <si>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</si>
  <si>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</si>
  <si>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</si>
  <si>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</si>
  <si>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</si>
  <si>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</si>
  <si>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</si>
  <si>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</si>
  <si>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</si>
  <si>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</si>
  <si>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</si>
  <si>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</si>
  <si>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</si>
  <si>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</si>
  <si>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</si>
  <si>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</si>
  <si>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</si>
  <si>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</si>
  <si>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</si>
  <si>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</si>
  <si>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</si>
  <si>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</si>
  <si>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</si>
  <si>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</si>
  <si>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</si>
  <si>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</si>
  <si>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</si>
  <si>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</si>
  <si>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</si>
  <si>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</si>
  <si>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</si>
  <si>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</si>
  <si>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</si>
  <si>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</si>
  <si>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</si>
  <si>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</si>
  <si>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Standings</t>
  </si>
  <si>
    <t>Owner</t>
  </si>
  <si>
    <t>Pick #</t>
  </si>
  <si>
    <t>Override Owner</t>
  </si>
  <si>
    <t>Sam Roush</t>
  </si>
  <si>
    <t>Owner (Final)</t>
  </si>
  <si>
    <t>Round</t>
  </si>
  <si>
    <t>Original Owner</t>
  </si>
  <si>
    <t>New Owner</t>
  </si>
  <si>
    <t>Key</t>
  </si>
  <si>
    <t>Tanner Koziol</t>
  </si>
  <si>
    <t>Ed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</si>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</sst>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35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40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48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102</v>
      </c>
      <c r="P29" s="8" t="s">
        <v>103</v>
      </c>
      <c r="Q29" s="12"/>
      <c r="R29" s="8" t="s">
        <v>104</v>
      </c>
      <c r="S29" s="8" t="s">
        <v>105</v>
      </c>
      <c r="T29" s="8" t="s">
        <v>107</v>
      </c>
      <c r="U29" s="12"/>
      <c r="V29" s="8" t="s">
        <v>108</v>
      </c>
      <c r="W29" s="8" t="s">
        <v>109</v>
      </c>
      <c r="X29" s="8" t="s">
        <v>110</v>
      </c>
      <c r="Y29" s="8" t="s">
        <v>111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113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121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108</v>
      </c>
      <c r="P44" s="8" t="s">
        <v>20</v>
      </c>
      <c r="Q44" s="8" t="s">
        <v>134</v>
      </c>
      <c r="R44" s="8" t="s">
        <v>103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1"/>
      <c r="W64" s="21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1"/>
      <c r="W69" s="21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121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113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51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54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47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55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36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41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50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114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119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117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27</v>
      </c>
      <c r="C5" s="10">
        <v>82.5</v>
      </c>
      <c r="E5" s="18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0">
        <v>76.0</v>
      </c>
      <c r="E6" s="18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0">
        <v>66.5</v>
      </c>
      <c r="E7" s="18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8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8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36</v>
      </c>
      <c r="C9" s="10">
        <v>53.0</v>
      </c>
      <c r="E9" s="18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37</v>
      </c>
      <c r="L9" s="10">
        <f>L6-L8
</f>
        <v>1020</v>
      </c>
    </row>
    <row r="10">
      <c r="A10" s="2">
        <v>9.0</v>
      </c>
      <c r="B10" s="9" t="s">
        <v>38</v>
      </c>
      <c r="C10" s="10">
        <v>48.0</v>
      </c>
      <c r="E10" s="18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39</v>
      </c>
      <c r="L10" s="10">
        <f>IF(L3&gt;1,L9/(L3-1),0)</f>
        <v>92.72727273</v>
      </c>
    </row>
    <row r="11">
      <c r="A11" s="2">
        <v>10.0</v>
      </c>
      <c r="B11" s="9" t="s">
        <v>41</v>
      </c>
      <c r="C11" s="10">
        <v>43.0</v>
      </c>
      <c r="E11" s="18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9" t="s">
        <v>43</v>
      </c>
      <c r="C12" s="10">
        <v>39.0</v>
      </c>
      <c r="E12" s="18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45</v>
      </c>
      <c r="C13" s="10">
        <v>34.0</v>
      </c>
      <c r="E13" s="18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9" t="s">
        <v>47</v>
      </c>
      <c r="C14" s="10">
        <v>30.5</v>
      </c>
      <c r="E14" s="18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49</v>
      </c>
      <c r="L14" s="19">
        <f>IF(L13&gt;0,L6/L13,1)</f>
        <v>1</v>
      </c>
    </row>
    <row r="15">
      <c r="A15" s="2">
        <v>14.0</v>
      </c>
      <c r="B15" s="9" t="s">
        <v>50</v>
      </c>
      <c r="C15" s="10">
        <v>27.5</v>
      </c>
      <c r="E15" s="18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51</v>
      </c>
      <c r="C16" s="10">
        <v>25.5</v>
      </c>
      <c r="E16" s="18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54</v>
      </c>
      <c r="C17" s="10">
        <v>22.5</v>
      </c>
      <c r="E17" s="18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55</v>
      </c>
      <c r="C18" s="10">
        <v>20.0</v>
      </c>
      <c r="E18" s="18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0">
        <v>18.5</v>
      </c>
      <c r="E19" s="18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58</v>
      </c>
      <c r="C20" s="10">
        <v>16.5</v>
      </c>
      <c r="E20" s="18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59</v>
      </c>
      <c r="C21" s="10">
        <v>14.5</v>
      </c>
      <c r="E21" s="18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8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8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8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8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8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8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8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8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8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8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8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8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8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8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8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8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8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8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8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8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8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8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8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8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8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8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8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8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8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8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8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8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8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8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8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8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8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8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8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8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8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106</v>
      </c>
      <c r="C63" s="10">
        <v>1.0</v>
      </c>
      <c r="E63" s="18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112</v>
      </c>
      <c r="C64" s="10">
        <v>1.0</v>
      </c>
      <c r="E64" s="18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114</v>
      </c>
      <c r="C65" s="10">
        <v>1.0</v>
      </c>
      <c r="E65" s="18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115</v>
      </c>
      <c r="C66" s="10">
        <v>1.0</v>
      </c>
      <c r="E66" s="18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116</v>
      </c>
      <c r="C67" s="10">
        <v>1.0</v>
      </c>
      <c r="E67" s="18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117</v>
      </c>
      <c r="C68" s="10">
        <v>1.0</v>
      </c>
      <c r="E68" s="18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118</v>
      </c>
      <c r="C69" s="10">
        <v>1.0</v>
      </c>
      <c r="E69" s="18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119</v>
      </c>
      <c r="C70" s="10">
        <v>1.0</v>
      </c>
      <c r="E70" s="18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120</v>
      </c>
      <c r="C71" s="10">
        <v>1.0</v>
      </c>
      <c r="E71" s="18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122</v>
      </c>
      <c r="C72" s="10">
        <v>1.0</v>
      </c>
      <c r="E72" s="18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123</v>
      </c>
      <c r="C73" s="10">
        <v>1.0</v>
      </c>
      <c r="E73" s="18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