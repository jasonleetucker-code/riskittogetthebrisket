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<sst xmlns="http://schemas.openxmlformats.org/spreadsheetml/2006/main" count="312" uniqueCount="178">
  <si>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</si>
  <si>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</si>
  <si>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</si>
  <si>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</si>
  <si>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</si>
  <si>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</si>
  <si>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</si>
  <si>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</si>
  <si>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</si>
  <si>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</si>
  <si>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</si>
  <si>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</si>
  <si>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</si>
  <si>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</si>
  <si>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</si>
  <si>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</si>
  <si>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</si>
  <si>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</si>
  <si>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</si>
  <si>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</si>
  <si>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</si>
  <si>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</si>
  <si>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</si>
  <si>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</si>
  <si>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</si>
  <si>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</si>
  <si>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</si>
  <si>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</si>
  <si>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</si>
  <si>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</si>
  <si>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</si>
  <si>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</si>
  <si>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</si>
  <si>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</si>
  <si>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</si>
  <si>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</si>
  <si>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</si>
  <si>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</si>
  <si>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</si>
  <si>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</si>
  <si>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</si>
  <si>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</si>
  <si>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</si>
  <si>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</si>
  <si>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</si>
  <si>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</si>
  <si>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</si>
  <si>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</si>
  <si>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</si>
  <si>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</si>
  <si>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</si>
  <si>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</si>
  <si>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</si>
  <si>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</si>
  <si>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</si>
  <si>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</si>
  <si>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</si>
  <si>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</si>
  <si>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</si>
  <si>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</si>
  <si>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</si>
  <si>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</si>
  <si>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</si>
  <si>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</si>
  <si>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</si>
  <si>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</si>
  <si>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</si>
  <si>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</si>
  <si>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</si>
  <si>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</si>
  <si>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</si>
  <si>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</si>
  <si>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</si>
  <si>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</si>
  <si>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</si>
  <si>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</si>
  <si>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</si>
  <si>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</si>
  <si>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</si>
  <si>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</si>
  <si>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</si>
  <si>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</si>
  <si>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</si>
  <si>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</si>
  <si>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</si>
  <si>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</si>
  <si>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</si>
  <si>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</si>
  <si>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</si>
  <si>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</si>
  <si>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</si>
  <si>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</si>
  <si>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</si>
  <si>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</si>
  <si>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</si>
  <si>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</si>
  <si>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</si>
  <si>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</si>
  <si>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</si>
  <si>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</si>
  <si>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</si>
  <si>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</si>
  <si>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</si>
  <si>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</si>
  <si>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</si>
  <si>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</si>
  <si>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</si>
  <si>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</si>
  <si>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</si>
  <si>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</si>
  <si>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</si>
  <si>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</si>
  <si>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</si>
  <si>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</si>
  <si>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</si>
  <si>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</si>
  <si>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</si>
  <si>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</si>
  <si>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Noah Whittington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</si>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</sst>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6">
        <f t="shared" ref="L2:L74" si="7">D2</f>
        <v>134.5</v>
      </c>
      <c r="M2" s="8"/>
      <c r="N2" s="8"/>
      <c r="O2" s="6" t="s">
        <v>21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8"/>
      <c r="N3" s="8"/>
      <c r="O3" s="6" t="s">
        <v>36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6">
        <f t="shared" si="7"/>
        <v>93</v>
      </c>
      <c r="M4" s="8"/>
      <c r="N4" s="8"/>
      <c r="O4" s="6" t="s">
        <v>42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6">
        <f t="shared" si="7"/>
        <v>80.5</v>
      </c>
      <c r="M5" s="8"/>
      <c r="N5" s="8"/>
      <c r="O5" s="6" t="s">
        <v>47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6">
        <f t="shared" si="7"/>
        <v>75.5</v>
      </c>
      <c r="M6" s="8"/>
      <c r="N6" s="8"/>
      <c r="O6" s="6" t="s">
        <v>52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6">
        <f t="shared" si="7"/>
        <v>68.5</v>
      </c>
      <c r="M7" s="8"/>
      <c r="N7" s="8"/>
      <c r="O7" s="6" t="s">
        <v>53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6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6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6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6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6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6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6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6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6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6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6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6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6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6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6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6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6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6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6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6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6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6">
        <f t="shared" si="7"/>
        <v>7</v>
      </c>
      <c r="M29" s="8"/>
      <c r="N29" s="8"/>
      <c r="O29" s="6" t="s">
        <v>112</v>
      </c>
      <c r="P29" s="6" t="s">
        <v>113</v>
      </c>
      <c r="Q29" s="8"/>
      <c r="R29" s="6" t="s">
        <v>114</v>
      </c>
      <c r="S29" s="6" t="s">
        <v>115</v>
      </c>
      <c r="T29" s="6" t="s">
        <v>116</v>
      </c>
      <c r="U29" s="8"/>
      <c r="V29" s="6" t="s">
        <v>117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6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6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6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6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6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6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6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6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6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6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6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6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6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6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6">
        <f t="shared" si="7"/>
        <v>2.5</v>
      </c>
      <c r="M44" s="8"/>
      <c r="N44" s="8"/>
      <c r="O44" s="6" t="s">
        <v>117</v>
      </c>
      <c r="P44" s="6" t="s">
        <v>9</v>
      </c>
      <c r="Q44" s="6" t="s">
        <v>134</v>
      </c>
      <c r="R44" s="6" t="s">
        <v>113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6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6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6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6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6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6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6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6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6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6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6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6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6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6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6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6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6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6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6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6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6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6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6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6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6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6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6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6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6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6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23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50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46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40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49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22</v>
      </c>
      <c r="L2" s="9">
        <v>1200.0</v>
      </c>
    </row>
    <row r="3">
      <c r="A3" s="9">
        <v>2.0</v>
      </c>
      <c r="B3" s="12" t="s">
        <v>23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7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7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7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7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7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7" t="str">
        <f t="shared" si="4"/>
        <v/>
      </c>
      <c r="K9" s="9" t="s">
        <v>37</v>
      </c>
      <c r="L9" s="13">
        <f>L6-L8
</f>
        <v>1020</v>
      </c>
    </row>
    <row r="10">
      <c r="A10" s="9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7" t="str">
        <f t="shared" si="4"/>
        <v/>
      </c>
      <c r="K10" s="9" t="s">
        <v>39</v>
      </c>
      <c r="L10" s="13">
        <f>IF(L3&gt;1,L9/(L3-1),0)</f>
        <v>92.72727273</v>
      </c>
    </row>
    <row r="11">
      <c r="A11" s="9">
        <v>10.0</v>
      </c>
      <c r="B11" s="12" t="s">
        <v>40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7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2" t="s">
        <v>43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7" t="str">
        <f t="shared" si="4"/>
        <v/>
      </c>
    </row>
    <row r="13">
      <c r="A13" s="9">
        <v>12.0</v>
      </c>
      <c r="B13" s="12" t="s">
        <v>44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7" t="str">
        <f t="shared" si="4"/>
        <v/>
      </c>
      <c r="K13" s="9" t="s">
        <v>45</v>
      </c>
      <c r="L13" s="18">
        <f>SUMIF($D$2:$D$73,"",$C$2:$C$73)</f>
        <v>1200</v>
      </c>
    </row>
    <row r="14">
      <c r="A14" s="9">
        <v>13.0</v>
      </c>
      <c r="B14" s="12" t="s">
        <v>46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7" t="str">
        <f t="shared" si="4"/>
        <v/>
      </c>
      <c r="K14" s="9" t="s">
        <v>48</v>
      </c>
      <c r="L14" s="19">
        <f>IF(L13&gt;0,L6/L13,1)</f>
        <v>1</v>
      </c>
    </row>
    <row r="15">
      <c r="A15" s="9">
        <v>14.0</v>
      </c>
      <c r="B15" s="12" t="s">
        <v>49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7" t="str">
        <f t="shared" si="4"/>
        <v/>
      </c>
    </row>
    <row r="16">
      <c r="A16" s="9">
        <v>15.0</v>
      </c>
      <c r="B16" s="12" t="s">
        <v>50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7" t="str">
        <f t="shared" si="4"/>
        <v/>
      </c>
      <c r="K16" s="9" t="s">
        <v>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7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7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7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7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7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7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7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7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7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7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7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7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7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7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7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7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7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7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7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7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7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7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7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7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7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7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7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7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7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7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7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7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7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7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7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7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7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7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7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7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7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7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7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7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7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7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7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7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7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7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7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7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7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7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7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7" t="str">
        <f t="shared" si="4"/>
        <v/>
      </c>
    </row>
    <row r="73">
      <c r="A73" s="9">
        <v>72.0</v>
      </c>
      <c r="B73" s="9" t="s">
        <v>118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7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