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<sst xmlns="http://schemas.openxmlformats.org/spreadsheetml/2006/main" count="312" uniqueCount="178">
  <si>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</si>
  <si>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</si>
  <si>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</si>
  <si>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</si>
  <si>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</si>
  <si>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</si>
  <si>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Rank</t>
  </si>
  <si>
    <t>Fractions</t>
  </si>
  <si>
    <t>Monotone Rounded</t>
  </si>
  <si>
    <t>Final Dollar Per Pick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</si>
  <si>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</si>
  <si>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</si>
  <si>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</si>
  <si>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</si>
  <si>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</si>
  <si>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</si>
  <si>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</si>
  <si>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</si>
  <si>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</si>
  <si>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</si>
  <si>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</si>
  <si>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</si>
  <si>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</si>
  <si>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</si>
  <si>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</si>
  <si>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</si>
  <si>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</si>
  <si>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</si>
  <si>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</si>
  <si>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</si>
  <si>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</si>
  <si>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</si>
  <si>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</si>
  <si>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</si>
  <si>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</si>
  <si>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</si>
  <si>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</si>
  <si>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</si>
  <si>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</si>
  <si>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</si>
  <si>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</si>
  <si>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</si>
  <si>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</si>
  <si>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</si>
  <si>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</si>
  <si>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</si>
  <si>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</si>
  <si>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</si>
  <si>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</si>
  <si>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</si>
  <si>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Denzel Boston</t>
  </si>
  <si>
    <t>Aggression</t>
  </si>
  <si>
    <t>Round 5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</si>
  <si>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</si>
  <si>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</si>
  <si>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</si>
  <si>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</si>
  <si>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</si>
  <si>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</si>
  <si>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</si>
  <si>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</si>
  <si>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</si>
  <si>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</si>
  <si>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</si>
  <si>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</si>
  <si>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</si>
  <si>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</si>
  <si>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</si>
  <si>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</si>
  <si>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</si>
  <si>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</si>
  <si>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</si>
  <si>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</si>
  <si>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</si>
  <si>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</si>
  <si>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</si>
  <si>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</si>
  <si>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</si>
  <si>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</si>
  <si>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</si>
  <si>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</si>
  <si>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</si>
  <si>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</si>
  <si>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</si>
  <si>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</si>
  <si>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</si>
  <si>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</si>
  <si>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</si>
  <si>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</si>
  <si>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</si>
  <si>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</si>
  <si>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</si>
  <si>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</si>
  <si>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</si>
  <si>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</si>
  <si>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</si>
  <si>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</si>
  <si>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</si>
  <si>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</si>
  <si>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</si>
  <si>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</si>
  <si>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</si>
  <si>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</si>
  <si>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</si>
  <si>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</si>
  <si>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</si>
  <si>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</si>
  <si>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Standings</t>
  </si>
  <si>
    <t>Bryce Lance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</si>
  <si>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</si>
  <si>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</si>
  <si>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</si>
  <si>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</si>
  <si>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</si>
  <si>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</si>
  <si>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</si>
  <si>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</si>
  <si>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Kevin Coleman</t>
  </si>
  <si>
    <t>Garrett Nussmeier</t>
  </si>
  <si>
    <t>Ed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</si>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</sst>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7</v>
      </c>
      <c r="K1" s="6" t="s">
        <v>8</v>
      </c>
      <c r="L1" s="7" t="s">
        <v>9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107</v>
      </c>
      <c r="P29" s="6" t="s">
        <v>109</v>
      </c>
      <c r="Q29" s="8"/>
      <c r="R29" s="6" t="s">
        <v>110</v>
      </c>
      <c r="S29" s="6" t="s">
        <v>111</v>
      </c>
      <c r="T29" s="6" t="s">
        <v>112</v>
      </c>
      <c r="U29" s="8"/>
      <c r="V29" s="6" t="s">
        <v>113</v>
      </c>
      <c r="W29" s="6" t="s">
        <v>114</v>
      </c>
      <c r="X29" s="6" t="s">
        <v>115</v>
      </c>
      <c r="Y29" s="6" t="s">
        <v>116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119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113</v>
      </c>
      <c r="P44" s="6" t="s">
        <v>10</v>
      </c>
      <c r="Q44" s="6" t="s">
        <v>134</v>
      </c>
      <c r="R44" s="6" t="s">
        <v>109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119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6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50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53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47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38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40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49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118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108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6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37</v>
      </c>
      <c r="L9" s="12">
        <f>L6-L8
</f>
        <v>1020</v>
      </c>
    </row>
    <row r="10">
      <c r="A10" s="9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39</v>
      </c>
      <c r="L10" s="12">
        <f>IF(L3&gt;1,L9/(L3-1),0)</f>
        <v>92.72727273</v>
      </c>
    </row>
    <row r="11">
      <c r="A11" s="9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45</v>
      </c>
      <c r="L13" s="18">
        <f>SUMIF($D$2:$D$73,"",$C$2:$C$73)</f>
        <v>1200</v>
      </c>
    </row>
    <row r="14">
      <c r="A14" s="9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48</v>
      </c>
      <c r="L14" s="19">
        <f>IF(L13&gt;0,L6/L13,1)</f>
        <v>1</v>
      </c>
    </row>
    <row r="15">
      <c r="A15" s="9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108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117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118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121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