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<sst xmlns="http://schemas.openxmlformats.org/spreadsheetml/2006/main" count="312" uniqueCount="178">
  <si>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</si>
  <si>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</si>
  <si>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</si>
  <si>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</si>
  <si>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</si>
  <si>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</si>
  <si>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</si>
  <si>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</si>
  <si>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</si>
  <si>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</si>
  <si>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</si>
  <si>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</si>
  <si>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</si>
  <si>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</si>
  <si>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</si>
  <si>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</si>
  <si>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</si>
  <si>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</si>
  <si>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</si>
  <si>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</si>
  <si>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</si>
  <si>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</si>
  <si>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</si>
  <si>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</si>
  <si>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</si>
  <si>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</si>
  <si>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</si>
  <si>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</si>
  <si>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</si>
  <si>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</si>
  <si>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</si>
  <si>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</si>
  <si>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</si>
  <si>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</si>
  <si>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2</t>
  </si>
  <si>
    <t>My Remaining</t>
  </si>
  <si>
    <t>KC Concepcion</t>
  </si>
  <si>
    <t>Other Teams Remaining</t>
  </si>
  <si>
    <t>Jadarian Price</t>
  </si>
  <si>
    <t>Round 3</t>
  </si>
  <si>
    <t>Avg $ per Other Team</t>
  </si>
  <si>
    <t>Eli Stowers</t>
  </si>
  <si>
    <t>Budget Advantage Factor</t>
  </si>
  <si>
    <t>Round 4</t>
  </si>
  <si>
    <t>Omar Cooper</t>
  </si>
  <si>
    <t>CJ Allen</t>
  </si>
  <si>
    <t>Round 5</t>
  </si>
  <si>
    <t>Undrafted Predraft$</t>
  </si>
  <si>
    <t>Arvell Reese</t>
  </si>
  <si>
    <t>Inflation Factor</t>
  </si>
  <si>
    <t>Ty Simpson</t>
  </si>
  <si>
    <t>Round 6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</si>
  <si>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</si>
  <si>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</si>
  <si>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</si>
  <si>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</si>
  <si>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</si>
  <si>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</si>
  <si>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</si>
  <si>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</si>
  <si>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</si>
  <si>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</si>
  <si>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</si>
  <si>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</si>
  <si>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</si>
  <si>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</si>
  <si>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</si>
  <si>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</si>
  <si>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</si>
  <si>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</si>
  <si>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</si>
  <si>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</si>
  <si>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</si>
  <si>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</si>
  <si>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</si>
  <si>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</si>
  <si>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</si>
  <si>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</si>
  <si>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</si>
  <si>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</si>
  <si>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</si>
  <si>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</si>
  <si>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</si>
  <si>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</si>
  <si>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</si>
  <si>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</si>
  <si>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</si>
  <si>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</si>
  <si>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</si>
  <si>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</si>
  <si>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</si>
  <si>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</si>
  <si>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</si>
  <si>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</si>
  <si>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</si>
  <si>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Michael Trigg</t>
  </si>
  <si>
    <t>Demond Claiborne</t>
  </si>
  <si>
    <t>Ed</t>
  </si>
  <si>
    <t>Malachi Lawrence</t>
  </si>
  <si>
    <t>CJ Donaldson</t>
  </si>
  <si>
    <t>T.J. Parker</t>
  </si>
  <si>
    <t>Cashius Howell</t>
  </si>
  <si>
    <t>Brent</t>
  </si>
  <si>
    <t>Keldric Faulk</t>
  </si>
  <si>
    <t>Akheem Mesidor</t>
  </si>
  <si>
    <t>Joey</t>
  </si>
  <si>
    <t>Justin Joly</t>
  </si>
  <si>
    <t>MaKayla</t>
  </si>
  <si>
    <t>Eli Raridon</t>
  </si>
  <si>
    <t>DJ Rogers</t>
  </si>
  <si>
    <t>Ty</t>
  </si>
  <si>
    <t>Lake McRee</t>
  </si>
  <si>
    <t>Cade Klubnik</t>
  </si>
  <si>
    <t>Kich</t>
  </si>
  <si>
    <t>Drew Allar</t>
  </si>
  <si>
    <t>Carson Beck</t>
  </si>
  <si>
    <t>Eric</t>
  </si>
  <si>
    <t>Joe Royer</t>
  </si>
  <si>
    <t>Sam Roush</t>
  </si>
  <si>
    <t>Collin</t>
  </si>
  <si>
    <t>Tanner Koziol</t>
  </si>
  <si>
    <t>Roy</t>
  </si>
  <si>
    <t>Jack Endries</t>
  </si>
  <si>
    <t>Matthew Hibner</t>
  </si>
  <si>
    <t>Jason</t>
  </si>
  <si>
    <t>Tyren Montgomery</t>
  </si>
  <si>
    <t>Bryce Lance</t>
  </si>
  <si>
    <t>Blaine</t>
  </si>
  <si>
    <t>Kevin Coleman</t>
  </si>
  <si>
    <t>Garrett Nussmeier</t>
  </si>
  <si>
    <t>Joel</t>
  </si>
  <si>
    <t>Nate Boerkircher</t>
  </si>
  <si>
    <t>Will Kacmarek</t>
  </si>
  <si>
    <t>Noah Whittington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</si>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</sst>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1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10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10" t="s">
        <v>34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10" t="s">
        <v>39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10" t="s">
        <v>43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10" t="s">
        <v>46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10" t="s">
        <v>51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10" t="s">
        <v>86</v>
      </c>
      <c r="P29" s="10" t="s">
        <v>87</v>
      </c>
      <c r="Q29" s="12"/>
      <c r="R29" s="10" t="s">
        <v>88</v>
      </c>
      <c r="S29" s="10" t="s">
        <v>89</v>
      </c>
      <c r="T29" s="10" t="s">
        <v>90</v>
      </c>
      <c r="U29" s="12"/>
      <c r="V29" s="10" t="s">
        <v>91</v>
      </c>
      <c r="W29" s="10" t="s">
        <v>92</v>
      </c>
      <c r="X29" s="10" t="s">
        <v>93</v>
      </c>
      <c r="Y29" s="10" t="s">
        <v>94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10" t="s">
        <v>97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10" t="s">
        <v>102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10" t="s">
        <v>105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10" t="s">
        <v>107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10" t="s">
        <v>110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10" t="s">
        <v>113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10" t="s">
        <v>116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10" t="s">
        <v>119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10" t="s">
        <v>121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10" t="s">
        <v>124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10" t="s">
        <v>127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10" t="s">
        <v>130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10" t="s">
        <v>91</v>
      </c>
      <c r="P44" s="10" t="s">
        <v>20</v>
      </c>
      <c r="Q44" s="10" t="s">
        <v>134</v>
      </c>
      <c r="R44" s="10" t="s">
        <v>87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130</v>
      </c>
      <c r="U63" s="15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127</v>
      </c>
      <c r="U64" s="15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124</v>
      </c>
      <c r="U65" s="15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121</v>
      </c>
      <c r="U66" s="15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119</v>
      </c>
      <c r="U67" s="15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116</v>
      </c>
      <c r="U68" s="15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113</v>
      </c>
      <c r="U69" s="15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110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107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105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102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97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27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52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54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48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55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36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57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38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41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50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100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117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122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129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96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126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115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95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108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106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114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112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0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27</v>
      </c>
      <c r="C5" s="9">
        <v>82.5</v>
      </c>
      <c r="E5" s="18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7" t="s">
        <v>29</v>
      </c>
      <c r="C6" s="9">
        <v>76.0</v>
      </c>
      <c r="E6" s="18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7" t="s">
        <v>31</v>
      </c>
      <c r="C7" s="9">
        <v>66.5</v>
      </c>
      <c r="E7" s="18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7" t="s">
        <v>33</v>
      </c>
      <c r="C8" s="9">
        <v>57.5</v>
      </c>
      <c r="E8" s="18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35</v>
      </c>
      <c r="L8" s="9">
        <f>L4-L7
</f>
        <v>180</v>
      </c>
    </row>
    <row r="9">
      <c r="A9" s="2">
        <v>8.0</v>
      </c>
      <c r="B9" s="7" t="s">
        <v>36</v>
      </c>
      <c r="C9" s="9">
        <v>53.0</v>
      </c>
      <c r="E9" s="18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37</v>
      </c>
      <c r="L9" s="9">
        <f>L6-L8
</f>
        <v>1020</v>
      </c>
    </row>
    <row r="10">
      <c r="A10" s="2">
        <v>9.0</v>
      </c>
      <c r="B10" s="7" t="s">
        <v>38</v>
      </c>
      <c r="C10" s="9">
        <v>48.0</v>
      </c>
      <c r="E10" s="18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40</v>
      </c>
      <c r="L10" s="9">
        <f>IF(L3&gt;1,L9/(L3-1),0)</f>
        <v>92.72727273</v>
      </c>
    </row>
    <row r="11">
      <c r="A11" s="2">
        <v>10.0</v>
      </c>
      <c r="B11" s="7" t="s">
        <v>41</v>
      </c>
      <c r="C11" s="9">
        <v>43.0</v>
      </c>
      <c r="E11" s="18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42</v>
      </c>
      <c r="L11" s="19">
        <f>IF(L10&gt;0,L8/L10,1)</f>
        <v>1.941176471</v>
      </c>
    </row>
    <row r="12">
      <c r="A12" s="2">
        <v>11.0</v>
      </c>
      <c r="B12" s="7" t="s">
        <v>44</v>
      </c>
      <c r="C12" s="9">
        <v>39.0</v>
      </c>
      <c r="E12" s="18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7" t="s">
        <v>45</v>
      </c>
      <c r="C13" s="9">
        <v>34.0</v>
      </c>
      <c r="E13" s="18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47</v>
      </c>
      <c r="L13" s="18">
        <f>SUMIF($D$2:$D$73,"",$C$2:$C$73)</f>
        <v>1200</v>
      </c>
    </row>
    <row r="14">
      <c r="A14" s="2">
        <v>13.0</v>
      </c>
      <c r="B14" s="7" t="s">
        <v>48</v>
      </c>
      <c r="C14" s="9">
        <v>30.5</v>
      </c>
      <c r="E14" s="18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49</v>
      </c>
      <c r="L14" s="19">
        <f>IF(L13&gt;0,L6/L13,1)</f>
        <v>1</v>
      </c>
    </row>
    <row r="15">
      <c r="A15" s="2">
        <v>14.0</v>
      </c>
      <c r="B15" s="7" t="s">
        <v>50</v>
      </c>
      <c r="C15" s="9">
        <v>27.5</v>
      </c>
      <c r="E15" s="18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7" t="s">
        <v>52</v>
      </c>
      <c r="C16" s="9">
        <v>25.5</v>
      </c>
      <c r="E16" s="18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53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54</v>
      </c>
      <c r="C17" s="9">
        <v>22.5</v>
      </c>
      <c r="E17" s="18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7" t="s">
        <v>55</v>
      </c>
      <c r="C18" s="9">
        <v>20.0</v>
      </c>
      <c r="E18" s="18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7" t="s">
        <v>57</v>
      </c>
      <c r="C19" s="9">
        <v>18.5</v>
      </c>
      <c r="E19" s="18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7" t="s">
        <v>58</v>
      </c>
      <c r="C20" s="9">
        <v>16.5</v>
      </c>
      <c r="E20" s="18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7" t="s">
        <v>59</v>
      </c>
      <c r="C21" s="9">
        <v>14.5</v>
      </c>
      <c r="E21" s="18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7" t="s">
        <v>60</v>
      </c>
      <c r="C22" s="9">
        <v>13.5</v>
      </c>
      <c r="E22" s="18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7" t="s">
        <v>61</v>
      </c>
      <c r="C23" s="9">
        <v>12.0</v>
      </c>
      <c r="E23" s="18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7" t="s">
        <v>62</v>
      </c>
      <c r="C24" s="9">
        <v>11.0</v>
      </c>
      <c r="E24" s="18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7" t="s">
        <v>63</v>
      </c>
      <c r="C25" s="9">
        <v>10.0</v>
      </c>
      <c r="E25" s="18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7" t="s">
        <v>64</v>
      </c>
      <c r="C26" s="9">
        <v>9.5</v>
      </c>
      <c r="E26" s="18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7" t="s">
        <v>65</v>
      </c>
      <c r="C27" s="9">
        <v>8.5</v>
      </c>
      <c r="E27" s="18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7" t="s">
        <v>67</v>
      </c>
      <c r="C28" s="9">
        <v>8.0</v>
      </c>
      <c r="E28" s="18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7" t="s">
        <v>68</v>
      </c>
      <c r="C29" s="9">
        <v>7.0</v>
      </c>
      <c r="E29" s="18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7" t="s">
        <v>69</v>
      </c>
      <c r="C30" s="9">
        <v>6.5</v>
      </c>
      <c r="E30" s="18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7" t="s">
        <v>70</v>
      </c>
      <c r="C31" s="9">
        <v>6.0</v>
      </c>
      <c r="E31" s="18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7" t="s">
        <v>71</v>
      </c>
      <c r="C32" s="9">
        <v>5.5</v>
      </c>
      <c r="E32" s="18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7" t="s">
        <v>72</v>
      </c>
      <c r="C33" s="9">
        <v>5.0</v>
      </c>
      <c r="E33" s="18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7" t="s">
        <v>73</v>
      </c>
      <c r="C34" s="9">
        <v>4.5</v>
      </c>
      <c r="E34" s="18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7" t="s">
        <v>74</v>
      </c>
      <c r="C35" s="9">
        <v>4.5</v>
      </c>
      <c r="E35" s="18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7" t="s">
        <v>75</v>
      </c>
      <c r="C36" s="9">
        <v>4.0</v>
      </c>
      <c r="E36" s="18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8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8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8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8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8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8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8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8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8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8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7" t="s">
        <v>95</v>
      </c>
      <c r="C47" s="9">
        <v>2.0</v>
      </c>
      <c r="E47" s="18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7" t="s">
        <v>96</v>
      </c>
      <c r="C48" s="9">
        <v>2.0</v>
      </c>
      <c r="E48" s="18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7" t="s">
        <v>98</v>
      </c>
      <c r="C49" s="9">
        <v>2.0</v>
      </c>
      <c r="E49" s="18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7" t="s">
        <v>99</v>
      </c>
      <c r="C50" s="9">
        <v>2.0</v>
      </c>
      <c r="E50" s="18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7" t="s">
        <v>100</v>
      </c>
      <c r="C51" s="9">
        <v>2.0</v>
      </c>
      <c r="E51" s="18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7" t="s">
        <v>101</v>
      </c>
      <c r="C52" s="9">
        <v>2.0</v>
      </c>
      <c r="E52" s="18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7" t="s">
        <v>103</v>
      </c>
      <c r="C53" s="9">
        <v>2.0</v>
      </c>
      <c r="E53" s="18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7" t="s">
        <v>104</v>
      </c>
      <c r="C54" s="9">
        <v>2.0</v>
      </c>
      <c r="E54" s="18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7" t="s">
        <v>106</v>
      </c>
      <c r="C55" s="9">
        <v>2.0</v>
      </c>
      <c r="E55" s="18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7" t="s">
        <v>108</v>
      </c>
      <c r="C56" s="9">
        <v>2.0</v>
      </c>
      <c r="E56" s="18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7" t="s">
        <v>109</v>
      </c>
      <c r="C57" s="9">
        <v>2.0</v>
      </c>
      <c r="E57" s="18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7" t="s">
        <v>111</v>
      </c>
      <c r="C58" s="9">
        <v>2.0</v>
      </c>
      <c r="E58" s="18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7" t="s">
        <v>112</v>
      </c>
      <c r="C59" s="9">
        <v>2.0</v>
      </c>
      <c r="E59" s="18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7" t="s">
        <v>114</v>
      </c>
      <c r="C60" s="9">
        <v>2.0</v>
      </c>
      <c r="E60" s="18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7" t="s">
        <v>115</v>
      </c>
      <c r="C61" s="9">
        <v>2.0</v>
      </c>
      <c r="E61" s="18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7" t="s">
        <v>117</v>
      </c>
      <c r="C62" s="9">
        <v>1.0</v>
      </c>
      <c r="E62" s="18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7" t="s">
        <v>118</v>
      </c>
      <c r="C63" s="9">
        <v>1.0</v>
      </c>
      <c r="E63" s="18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7" t="s">
        <v>120</v>
      </c>
      <c r="C64" s="9">
        <v>1.0</v>
      </c>
      <c r="E64" s="18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7" t="s">
        <v>122</v>
      </c>
      <c r="C65" s="9">
        <v>1.0</v>
      </c>
      <c r="E65" s="18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7" t="s">
        <v>123</v>
      </c>
      <c r="C66" s="9">
        <v>1.0</v>
      </c>
      <c r="E66" s="18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7" t="s">
        <v>125</v>
      </c>
      <c r="C67" s="9">
        <v>1.0</v>
      </c>
      <c r="E67" s="18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7" t="s">
        <v>126</v>
      </c>
      <c r="C68" s="9">
        <v>1.0</v>
      </c>
      <c r="E68" s="18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7" t="s">
        <v>128</v>
      </c>
      <c r="C69" s="9">
        <v>1.0</v>
      </c>
      <c r="E69" s="18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7" t="s">
        <v>129</v>
      </c>
      <c r="C70" s="9">
        <v>1.0</v>
      </c>
      <c r="E70" s="18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7" t="s">
        <v>131</v>
      </c>
      <c r="C71" s="9">
        <v>1.0</v>
      </c>
      <c r="E71" s="18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7" t="s">
        <v>132</v>
      </c>
      <c r="C72" s="9">
        <v>1.0</v>
      </c>
      <c r="E72" s="18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133</v>
      </c>
      <c r="C73" s="9">
        <v>1.0</v>
      </c>
      <c r="E73" s="18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