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<sst xmlns="http://schemas.openxmlformats.org/spreadsheetml/2006/main" count="312" uniqueCount="178">
  <si>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</si>
  <si>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</si>
  <si>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</si>
  <si>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</si>
  <si>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</si>
  <si>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</si>
  <si>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</si>
  <si>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</si>
  <si>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</si>
  <si>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</si>
  <si>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</si>
  <si>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</si>
  <si>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</si>
  <si>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</si>
  <si>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</si>
  <si>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</si>
  <si>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</si>
  <si>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</si>
  <si>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</si>
  <si>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</si>
  <si>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</si>
  <si>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</si>
  <si>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</si>
  <si>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</si>
  <si>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</si>
  <si>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</si>
  <si>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</si>
  <si>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</si>
  <si>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</si>
  <si>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</si>
  <si>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</si>
  <si>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</si>
  <si>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</si>
  <si>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</si>
  <si>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</si>
  <si>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</si>
  <si>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Round 3</t>
  </si>
  <si>
    <t>KC Concepcion</t>
  </si>
  <si>
    <t>Other Teams Remaining</t>
  </si>
  <si>
    <t>Jadarian Price</t>
  </si>
  <si>
    <t>Round 4</t>
  </si>
  <si>
    <t>Avg $ per Other Team</t>
  </si>
  <si>
    <t>Eli Stowers</t>
  </si>
  <si>
    <t>Round 5</t>
  </si>
  <si>
    <t>Budget Advantage Factor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</si>
  <si>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</si>
  <si>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</si>
  <si>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</si>
  <si>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</si>
  <si>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</si>
  <si>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</si>
  <si>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</si>
  <si>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</si>
  <si>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</si>
  <si>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</si>
  <si>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</si>
  <si>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</si>
  <si>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</si>
  <si>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</si>
  <si>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</si>
  <si>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</si>
  <si>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</si>
  <si>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</si>
  <si>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</si>
  <si>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</si>
  <si>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</si>
  <si>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</si>
  <si>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</si>
  <si>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</si>
  <si>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</si>
  <si>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</si>
  <si>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</si>
  <si>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</si>
  <si>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</si>
  <si>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</si>
  <si>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</si>
  <si>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</si>
  <si>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</si>
  <si>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</si>
  <si>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</si>
  <si>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</si>
  <si>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</si>
  <si>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</si>
  <si>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</si>
  <si>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</si>
  <si>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</si>
  <si>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Standings</t>
  </si>
  <si>
    <t>Owner</t>
  </si>
  <si>
    <t>Pick #</t>
  </si>
  <si>
    <t>Override Owner</t>
  </si>
  <si>
    <t>Owner (Final)</t>
  </si>
  <si>
    <t>Michael Trigg</t>
  </si>
  <si>
    <t>Round</t>
  </si>
  <si>
    <t>Original Owner</t>
  </si>
  <si>
    <t>New Owner</t>
  </si>
  <si>
    <t>Key</t>
  </si>
  <si>
    <t>Demond Claiborne</t>
  </si>
  <si>
    <t>Ed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</si>
  <si>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</si>
  <si>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</si>
  <si>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</si>
  <si>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</si>
  <si>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</si>
  <si>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</si>
  <si>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</si>
  <si>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</si>
  <si>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Brent</t>
  </si>
  <si>
    <t>DJ Rogers</t>
  </si>
  <si>
    <t>Lake McRee</t>
  </si>
  <si>
    <t>Cade Klubnik</t>
  </si>
  <si>
    <t>Joey</t>
  </si>
  <si>
    <t>Drew Allar</t>
  </si>
  <si>
    <t>Carson Beck</t>
  </si>
  <si>
    <t>MaKayla</t>
  </si>
  <si>
    <t>Joe Royer</t>
  </si>
  <si>
    <t>Sam Roush</t>
  </si>
  <si>
    <t>Ty</t>
  </si>
  <si>
    <t>Tanner Koziol</t>
  </si>
  <si>
    <t>Jack Endries</t>
  </si>
  <si>
    <t>Matthew Hibner</t>
  </si>
  <si>
    <t>Kich</t>
  </si>
  <si>
    <t>Tyren Montgomery</t>
  </si>
  <si>
    <t>Bryce Lance</t>
  </si>
  <si>
    <t>Kevin Coleman</t>
  </si>
  <si>
    <t>Eric</t>
  </si>
  <si>
    <t>Garrett Nussmeier</t>
  </si>
  <si>
    <t>Nate Boerkircher</t>
  </si>
  <si>
    <t>Will Kacmarek</t>
  </si>
  <si>
    <t>Collin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</si>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</sst>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86</v>
      </c>
      <c r="P29" s="8" t="s">
        <v>87</v>
      </c>
      <c r="Q29" s="12"/>
      <c r="R29" s="8" t="s">
        <v>88</v>
      </c>
      <c r="S29" s="8" t="s">
        <v>89</v>
      </c>
      <c r="T29" s="8" t="s">
        <v>90</v>
      </c>
      <c r="U29" s="12"/>
      <c r="V29" s="8" t="s">
        <v>92</v>
      </c>
      <c r="W29" s="8" t="s">
        <v>93</v>
      </c>
      <c r="X29" s="8" t="s">
        <v>94</v>
      </c>
      <c r="Y29" s="8" t="s">
        <v>95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97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106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110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113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116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120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124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128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92</v>
      </c>
      <c r="P44" s="8" t="s">
        <v>20</v>
      </c>
      <c r="Q44" s="8" t="s">
        <v>134</v>
      </c>
      <c r="R44" s="8" t="s">
        <v>87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128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124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120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113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110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106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97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34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52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49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37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39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42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51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100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114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118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125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96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122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112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91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104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111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109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17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26</v>
      </c>
      <c r="L4" s="5">
        <f>'Draft Data'!U63</f>
        <v>180</v>
      </c>
    </row>
    <row r="5">
      <c r="A5" s="3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8">
        <f>L2-L5
</f>
        <v>1200</v>
      </c>
    </row>
    <row r="7">
      <c r="A7" s="3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33</v>
      </c>
      <c r="L7" s="18">
        <f>SUMIF($E$2:$E$500,TRUE,$D$2:$D$500)</f>
        <v>0</v>
      </c>
    </row>
    <row r="8">
      <c r="A8" s="3">
        <v>7.0</v>
      </c>
      <c r="B8" s="9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35</v>
      </c>
      <c r="L8" s="10">
        <f>L4-L7
</f>
        <v>180</v>
      </c>
    </row>
    <row r="9">
      <c r="A9" s="3">
        <v>8.0</v>
      </c>
      <c r="B9" s="9" t="s">
        <v>37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38</v>
      </c>
      <c r="L9" s="10">
        <f>L6-L8
</f>
        <v>1020</v>
      </c>
    </row>
    <row r="10">
      <c r="A10" s="3">
        <v>9.0</v>
      </c>
      <c r="B10" s="9" t="s">
        <v>39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41</v>
      </c>
      <c r="L10" s="10">
        <f>IF(L3&gt;1,L9/(L3-1),0)</f>
        <v>92.72727273</v>
      </c>
    </row>
    <row r="11">
      <c r="A11" s="3">
        <v>10.0</v>
      </c>
      <c r="B11" s="9" t="s">
        <v>42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44</v>
      </c>
      <c r="L11" s="19">
        <f>IF(L10&gt;0,L8/L10,1)</f>
        <v>1.941176471</v>
      </c>
    </row>
    <row r="12">
      <c r="A12" s="3">
        <v>11.0</v>
      </c>
      <c r="B12" s="9" t="s">
        <v>45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9" t="s">
        <v>46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48</v>
      </c>
      <c r="L13" s="18">
        <f>SUMIF($D$2:$D$73,"",$C$2:$C$73)</f>
        <v>1200</v>
      </c>
    </row>
    <row r="14">
      <c r="A14" s="3">
        <v>13.0</v>
      </c>
      <c r="B14" s="9" t="s">
        <v>49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50</v>
      </c>
      <c r="L14" s="19">
        <f>IF(L13&gt;0,L6/L13,1)</f>
        <v>1</v>
      </c>
    </row>
    <row r="15">
      <c r="A15" s="3">
        <v>14.0</v>
      </c>
      <c r="B15" s="9" t="s">
        <v>51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9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53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9" t="s">
        <v>91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9" t="s">
        <v>96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9" t="s">
        <v>98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9" t="s">
        <v>99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9" t="s">
        <v>100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9" t="s">
        <v>101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9" t="s">
        <v>102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9" t="s">
        <v>103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9" t="s">
        <v>104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9" t="s">
        <v>105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9" t="s">
        <v>107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9" t="s">
        <v>108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9" t="s">
        <v>109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9" t="s">
        <v>111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9" t="s">
        <v>112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9" t="s">
        <v>114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9" t="s">
        <v>115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9" t="s">
        <v>117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9" t="s">
        <v>118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9" t="s">
        <v>119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9" t="s">
        <v>121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9" t="s">
        <v>122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9" t="s">
        <v>123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9" t="s">
        <v>125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9" t="s">
        <v>126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9" t="s">
        <v>127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129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