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<sst xmlns="http://schemas.openxmlformats.org/spreadsheetml/2006/main" count="312" uniqueCount="178">
  <si>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</si>
  <si>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</si>
  <si>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</si>
  <si>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</si>
  <si>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</si>
  <si>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</si>
  <si>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</si>
  <si>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Rank</t>
  </si>
  <si>
    <t>Monotone Rounded</t>
  </si>
  <si>
    <t>Final Dollar Per Pick</t>
  </si>
  <si>
    <t>PLAYER NAME</t>
  </si>
  <si>
    <t>PreDraft$</t>
  </si>
  <si>
    <t>Final Price</t>
  </si>
  <si>
    <t>Mine?</t>
  </si>
  <si>
    <t>Pick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</si>
  <si>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</si>
  <si>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</si>
  <si>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</si>
  <si>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</si>
  <si>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</si>
  <si>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</si>
  <si>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</si>
  <si>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</si>
  <si>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</si>
  <si>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</si>
  <si>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</si>
  <si>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</si>
  <si>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</si>
  <si>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</si>
  <si>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</si>
  <si>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</si>
  <si>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</si>
  <si>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</si>
  <si>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</si>
  <si>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</si>
  <si>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</si>
  <si>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</si>
  <si>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</si>
  <si>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</si>
  <si>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</si>
  <si>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</si>
  <si>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</si>
  <si>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</si>
  <si>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</si>
  <si>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</si>
  <si>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</si>
  <si>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</si>
  <si>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</si>
  <si>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</si>
  <si>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</si>
  <si>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</si>
  <si>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</si>
  <si>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</si>
  <si>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</si>
  <si>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</si>
  <si>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</si>
  <si>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</si>
  <si>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</si>
  <si>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</si>
  <si>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</si>
  <si>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Chris Bell</t>
  </si>
  <si>
    <t>Round 5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</si>
  <si>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</si>
  <si>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</si>
  <si>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</si>
  <si>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</si>
  <si>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</si>
  <si>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</si>
  <si>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</si>
  <si>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</si>
  <si>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</si>
  <si>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Round 6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</si>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</sst>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8</v>
      </c>
      <c r="L1" s="8" t="s">
        <v>9</v>
      </c>
      <c r="M1" s="4">
        <v>12.0</v>
      </c>
      <c r="N1" s="9"/>
      <c r="O1" s="6" t="s">
        <v>14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9"/>
      <c r="N2" s="9"/>
      <c r="O2" s="6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9"/>
      <c r="N3" s="9"/>
      <c r="O3" s="6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6"/>
      <c r="AD3" s="6"/>
    </row>
    <row r="4">
      <c r="A4" s="13">
        <v>1.03</v>
      </c>
      <c r="B4" s="10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9"/>
      <c r="N4" s="9"/>
      <c r="O4" s="6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6"/>
      <c r="AD4" s="6"/>
    </row>
    <row r="5">
      <c r="A5" s="13">
        <v>1.04</v>
      </c>
      <c r="B5" s="10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9"/>
      <c r="N5" s="9"/>
      <c r="O5" s="6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6"/>
      <c r="AD5" s="6"/>
    </row>
    <row r="6">
      <c r="A6" s="13">
        <v>1.05</v>
      </c>
      <c r="B6" s="10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9"/>
      <c r="N6" s="9"/>
      <c r="O6" s="6" t="s">
        <v>61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6"/>
      <c r="AD6" s="6"/>
    </row>
    <row r="7">
      <c r="A7" s="13">
        <v>1.06</v>
      </c>
      <c r="B7" s="10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9"/>
      <c r="N7" s="9"/>
      <c r="O7" s="6" t="s">
        <v>71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6"/>
      <c r="AD7" s="6"/>
    </row>
    <row r="8">
      <c r="A8" s="13">
        <v>1.07</v>
      </c>
      <c r="B8" s="10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9"/>
      <c r="N8" s="9"/>
      <c r="O8" s="9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6"/>
      <c r="AD8" s="6"/>
    </row>
    <row r="9">
      <c r="A9" s="13">
        <v>1.08</v>
      </c>
      <c r="B9" s="10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9"/>
      <c r="N10" s="9"/>
      <c r="O10" s="9"/>
      <c r="P10" s="16"/>
      <c r="Q10" s="16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9"/>
      <c r="N11" s="9"/>
      <c r="O11" s="9"/>
      <c r="P11" s="16"/>
      <c r="Q11" s="16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9"/>
      <c r="N12" s="9"/>
      <c r="O12" s="9"/>
      <c r="P12" s="16"/>
      <c r="Q12" s="16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9"/>
      <c r="N13" s="9"/>
      <c r="O13" s="9"/>
      <c r="P13" s="16"/>
      <c r="Q13" s="16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9"/>
      <c r="N14" s="9"/>
      <c r="O14" s="9"/>
      <c r="P14" s="16"/>
      <c r="Q14" s="16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9"/>
      <c r="N15" s="9"/>
      <c r="O15" s="9"/>
      <c r="P15" s="16"/>
      <c r="Q15" s="16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9"/>
      <c r="N16" s="9"/>
      <c r="O16" s="9"/>
      <c r="P16" s="16"/>
      <c r="Q16" s="16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9"/>
      <c r="N29" s="9"/>
      <c r="O29" s="6" t="s">
        <v>113</v>
      </c>
      <c r="P29" s="6" t="s">
        <v>114</v>
      </c>
      <c r="Q29" s="9"/>
      <c r="R29" s="6" t="s">
        <v>115</v>
      </c>
      <c r="S29" s="6" t="s">
        <v>116</v>
      </c>
      <c r="T29" s="6" t="s">
        <v>117</v>
      </c>
      <c r="U29" s="9"/>
      <c r="V29" s="6" t="s">
        <v>118</v>
      </c>
      <c r="W29" s="6" t="s">
        <v>119</v>
      </c>
      <c r="X29" s="6" t="s">
        <v>120</v>
      </c>
      <c r="Y29" s="6" t="s">
        <v>121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9"/>
      <c r="N30" s="9"/>
      <c r="O30" s="4">
        <v>1.0</v>
      </c>
      <c r="P30" s="6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9"/>
      <c r="N44" s="9"/>
      <c r="O44" s="6" t="s">
        <v>118</v>
      </c>
      <c r="P44" s="6" t="s">
        <v>14</v>
      </c>
      <c r="Q44" s="6" t="s">
        <v>134</v>
      </c>
      <c r="R44" s="6" t="s">
        <v>114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9" t="str">
        <f t="shared" si="21"/>
        <v>Kich</v>
      </c>
      <c r="S63" s="9"/>
      <c r="T63" s="9" t="s">
        <v>133</v>
      </c>
      <c r="U63" s="16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9" t="str">
        <f t="shared" si="21"/>
        <v>Ty</v>
      </c>
      <c r="S64" s="9"/>
      <c r="T64" s="9" t="s">
        <v>132</v>
      </c>
      <c r="U64" s="16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9" t="str">
        <f t="shared" si="21"/>
        <v>MaKayla</v>
      </c>
      <c r="S65" s="9"/>
      <c r="T65" s="6" t="s">
        <v>131</v>
      </c>
      <c r="U65" s="16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9" t="str">
        <f t="shared" si="21"/>
        <v>Joey</v>
      </c>
      <c r="S66" s="9"/>
      <c r="T66" s="9" t="s">
        <v>130</v>
      </c>
      <c r="U66" s="16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9" t="str">
        <f t="shared" si="21"/>
        <v>Brent</v>
      </c>
      <c r="S67" s="9"/>
      <c r="T67" s="9" t="s">
        <v>129</v>
      </c>
      <c r="U67" s="16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9" t="str">
        <f t="shared" si="21"/>
        <v>Ed</v>
      </c>
      <c r="S68" s="9"/>
      <c r="T68" s="9" t="s">
        <v>128</v>
      </c>
      <c r="U68" s="16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9" t="str">
        <f t="shared" si="21"/>
        <v>Joel</v>
      </c>
      <c r="S69" s="9"/>
      <c r="T69" s="9" t="s">
        <v>127</v>
      </c>
      <c r="U69" s="16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6">
        <f t="shared" si="20"/>
        <v>9</v>
      </c>
      <c r="R70" s="9" t="str">
        <f t="shared" si="21"/>
        <v>Blaine</v>
      </c>
      <c r="S70" s="9"/>
      <c r="T70" s="9" t="s">
        <v>126</v>
      </c>
      <c r="U70" s="16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6">
        <f t="shared" si="20"/>
        <v>7</v>
      </c>
      <c r="R71" s="9" t="str">
        <f t="shared" si="21"/>
        <v>Jason</v>
      </c>
      <c r="S71" s="9"/>
      <c r="T71" s="9" t="s">
        <v>125</v>
      </c>
      <c r="U71" s="16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6">
        <f t="shared" si="20"/>
        <v>7</v>
      </c>
      <c r="R72" s="9" t="str">
        <f t="shared" si="21"/>
        <v>Roy</v>
      </c>
      <c r="S72" s="9"/>
      <c r="T72" s="9" t="s">
        <v>124</v>
      </c>
      <c r="U72" s="16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9" t="str">
        <f t="shared" si="21"/>
        <v>Collin</v>
      </c>
      <c r="S73" s="9"/>
      <c r="T73" s="9" t="s">
        <v>123</v>
      </c>
      <c r="U73" s="16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9" t="str">
        <f t="shared" si="21"/>
        <v>Eric</v>
      </c>
      <c r="S74" s="9"/>
      <c r="T74" s="9" t="s">
        <v>122</v>
      </c>
      <c r="U74" s="16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9" t="str">
        <f t="shared" si="21"/>
        <v>Kich</v>
      </c>
      <c r="S75" s="9"/>
      <c r="T75" s="9"/>
      <c r="U75" s="16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9" t="str">
        <f t="shared" si="21"/>
        <v>Brent</v>
      </c>
      <c r="S79" s="9"/>
      <c r="T79" s="9"/>
      <c r="U79" s="16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9" t="str">
        <f t="shared" si="21"/>
        <v>Ed</v>
      </c>
      <c r="S80" s="9"/>
      <c r="T80" s="9"/>
      <c r="U80" s="16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9" t="str">
        <f t="shared" si="21"/>
        <v>Joel</v>
      </c>
      <c r="S81" s="9"/>
      <c r="T81" s="9"/>
      <c r="U81" s="16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9" t="str">
        <f t="shared" si="21"/>
        <v>Blaine</v>
      </c>
      <c r="S82" s="9"/>
      <c r="T82" s="9"/>
      <c r="U82" s="16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9" t="str">
        <f t="shared" si="21"/>
        <v>Jason</v>
      </c>
      <c r="S83" s="9"/>
      <c r="T83" s="9"/>
      <c r="U83" s="16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9" t="str">
        <f t="shared" si="21"/>
        <v>Roy</v>
      </c>
      <c r="S84" s="9"/>
      <c r="T84" s="9"/>
      <c r="U84" s="16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9" t="str">
        <f t="shared" si="21"/>
        <v>Collin</v>
      </c>
      <c r="S85" s="9"/>
      <c r="T85" s="9"/>
      <c r="U85" s="16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9" t="str">
        <f t="shared" si="21"/>
        <v>Eric</v>
      </c>
      <c r="S86" s="9"/>
      <c r="T86" s="9"/>
      <c r="U86" s="16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9" t="str">
        <f t="shared" si="21"/>
        <v>Kich</v>
      </c>
      <c r="S87" s="9"/>
      <c r="T87" s="9"/>
      <c r="U87" s="16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9" t="str">
        <f t="shared" si="21"/>
        <v>Ty</v>
      </c>
      <c r="S88" s="9"/>
      <c r="T88" s="9"/>
      <c r="U88" s="16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9" t="str">
        <f t="shared" si="21"/>
        <v>MaKayla</v>
      </c>
      <c r="S89" s="9"/>
      <c r="T89" s="9"/>
      <c r="U89" s="16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9" t="str">
        <f t="shared" si="21"/>
        <v>Joey</v>
      </c>
      <c r="S90" s="9"/>
      <c r="T90" s="9"/>
      <c r="U90" s="16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6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6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7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28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30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48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51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44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52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54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56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58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37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39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47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67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68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63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57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60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62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70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66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7</v>
      </c>
      <c r="B1" s="7" t="s">
        <v>10</v>
      </c>
      <c r="C1" s="7" t="s">
        <v>11</v>
      </c>
      <c r="D1" s="7" t="s">
        <v>12</v>
      </c>
      <c r="E1" s="7" t="s">
        <v>13</v>
      </c>
      <c r="F1" s="10" t="s">
        <v>15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24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7" t="s">
        <v>25</v>
      </c>
      <c r="L4" s="10">
        <f>'Draft Data'!U63</f>
        <v>180</v>
      </c>
    </row>
    <row r="5">
      <c r="A5" s="7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7" t="s">
        <v>27</v>
      </c>
      <c r="L5" s="17">
        <f>SUM($D$2:$D$500)
</f>
        <v>0</v>
      </c>
    </row>
    <row r="6">
      <c r="A6" s="7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7" t="s">
        <v>29</v>
      </c>
      <c r="L6" s="17">
        <f>L2-L5
</f>
        <v>1200</v>
      </c>
    </row>
    <row r="7">
      <c r="A7" s="7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7" t="s">
        <v>31</v>
      </c>
      <c r="L7" s="17">
        <f>SUMIF($E$2:$E$500,TRUE,$D$2:$D$500)</f>
        <v>0</v>
      </c>
    </row>
    <row r="8">
      <c r="A8" s="7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7" t="s">
        <v>34</v>
      </c>
      <c r="L8" s="12">
        <f>L4-L7
</f>
        <v>180</v>
      </c>
    </row>
    <row r="9">
      <c r="A9" s="7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7" t="s">
        <v>36</v>
      </c>
      <c r="L9" s="12">
        <f>L6-L8
</f>
        <v>1020</v>
      </c>
    </row>
    <row r="10">
      <c r="A10" s="7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7" t="s">
        <v>38</v>
      </c>
      <c r="L10" s="12">
        <f>IF(L3&gt;1,L9/(L3-1),0)</f>
        <v>92.72727273</v>
      </c>
    </row>
    <row r="11">
      <c r="A11" s="7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7" t="s">
        <v>40</v>
      </c>
      <c r="L11" s="19">
        <f>IF(L10&gt;0,L8/L10,1)</f>
        <v>1.941176471</v>
      </c>
    </row>
    <row r="12">
      <c r="A12" s="7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7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7" t="s">
        <v>43</v>
      </c>
      <c r="L13" s="17">
        <f>SUMIF($D$2:$D$73,"",$C$2:$C$73)</f>
        <v>1200</v>
      </c>
    </row>
    <row r="14">
      <c r="A14" s="7">
        <v>13.0</v>
      </c>
      <c r="B14" s="11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7" t="s">
        <v>45</v>
      </c>
      <c r="L14" s="19">
        <f>IF(L13&gt;0,L6/L13,1)</f>
        <v>1</v>
      </c>
    </row>
    <row r="15">
      <c r="A15" s="7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7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7" t="s">
        <v>49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7">
        <v>17.0</v>
      </c>
      <c r="B18" s="11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7" t="s">
        <v>53</v>
      </c>
      <c r="L18" s="20">
        <f>L5/L2</f>
        <v>0</v>
      </c>
    </row>
    <row r="19">
      <c r="A19" s="7">
        <v>18.0</v>
      </c>
      <c r="B19" s="11" t="s">
        <v>54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7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7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7">
        <v>21.0</v>
      </c>
      <c r="B22" s="11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7">
        <v>22.0</v>
      </c>
      <c r="B23" s="11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7">
        <v>23.0</v>
      </c>
      <c r="B24" s="11" t="s">
        <v>60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7">
        <v>24.0</v>
      </c>
      <c r="B25" s="11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7">
        <v>25.0</v>
      </c>
      <c r="B26" s="11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7">
        <v>26.0</v>
      </c>
      <c r="B27" s="11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7" t="s">
        <v>65</v>
      </c>
      <c r="L27" s="7">
        <v>0.8</v>
      </c>
    </row>
    <row r="28">
      <c r="A28" s="7">
        <v>27.0</v>
      </c>
      <c r="B28" s="11" t="s">
        <v>66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7">
        <v>28.0</v>
      </c>
      <c r="B29" s="11" t="s">
        <v>67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7">
        <v>29.0</v>
      </c>
      <c r="B30" s="11" t="s">
        <v>68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7">
        <v>30.0</v>
      </c>
      <c r="B31" s="11" t="s">
        <v>69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7">
        <v>31.0</v>
      </c>
      <c r="B32" s="11" t="s">
        <v>70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7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7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7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7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7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7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7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7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7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7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7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7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7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7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7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7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7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7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7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7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7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7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7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7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7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7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7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7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7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7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7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7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7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7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7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7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7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7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7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7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7">
        <v>72.0</v>
      </c>
      <c r="B73" s="7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