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<sst xmlns="http://schemas.openxmlformats.org/spreadsheetml/2006/main" count="312" uniqueCount="178">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</sst>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7" t="s">
        <v>9</v>
      </c>
      <c r="M1" s="4">
        <v>12.0</v>
      </c>
      <c r="N1" s="9"/>
      <c r="O1" s="6" t="s">
        <v>11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11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7</v>
      </c>
      <c r="B1" s="8" t="s">
        <v>10</v>
      </c>
      <c r="C1" s="8" t="s">
        <v>12</v>
      </c>
      <c r="D1" s="8" t="s">
        <v>13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8" t="s">
        <v>27</v>
      </c>
      <c r="L5" s="17">
        <f>SUM($D$2:$D$500)
</f>
        <v>0</v>
      </c>
    </row>
    <row r="6">
      <c r="A6" s="8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8" t="s">
        <v>29</v>
      </c>
      <c r="L6" s="17">
        <f>L2-L5
</f>
        <v>1200</v>
      </c>
    </row>
    <row r="7">
      <c r="A7" s="8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8" t="s">
        <v>32</v>
      </c>
      <c r="L7" s="17">
        <f>SUMIF($E$2:$E$500,TRUE,$D$2:$D$500)</f>
        <v>0</v>
      </c>
    </row>
    <row r="8">
      <c r="A8" s="8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8" t="s">
        <v>38</v>
      </c>
      <c r="L10" s="12">
        <f>IF(L3&gt;1,L9/(L3-1),0)</f>
        <v>92.72727273</v>
      </c>
    </row>
    <row r="11">
      <c r="A11" s="8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8" t="s">
        <v>40</v>
      </c>
      <c r="L11" s="19">
        <f>IF(L10&gt;0,L8/L10,1)</f>
        <v>1.941176471</v>
      </c>
    </row>
    <row r="12">
      <c r="A12" s="8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8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8" t="s">
        <v>44</v>
      </c>
      <c r="L13" s="17">
        <f>SUMIF($D$2:$D$73,"",$C$2:$C$73)</f>
        <v>1200</v>
      </c>
    </row>
    <row r="14">
      <c r="A14" s="8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8" t="s">
        <v>46</v>
      </c>
      <c r="L14" s="19">
        <f>IF(L13&gt;0,L6/L13,1)</f>
        <v>1</v>
      </c>
    </row>
    <row r="15">
      <c r="A15" s="8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8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8" t="s">
        <v>50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8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8" t="s">
        <v>54</v>
      </c>
      <c r="L18" s="20">
        <f>L5/L2</f>
        <v>0</v>
      </c>
    </row>
    <row r="19">
      <c r="A19" s="8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8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8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8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8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8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8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8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8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8" t="s">
        <v>66</v>
      </c>
      <c r="L27" s="8">
        <v>0.8</v>
      </c>
    </row>
    <row r="28">
      <c r="A28" s="8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