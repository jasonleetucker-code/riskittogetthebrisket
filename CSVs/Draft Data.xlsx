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<sst xmlns="http://schemas.openxmlformats.org/spreadsheetml/2006/main" count="312" uniqueCount="178">
  <si>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</si>
  <si>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</si>
  <si>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</si>
  <si>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</si>
  <si>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</si>
  <si>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</si>
  <si>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</si>
  <si>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</si>
  <si>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</si>
  <si>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</si>
  <si>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</si>
  <si>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</si>
  <si>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</si>
  <si>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</si>
  <si>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</si>
  <si>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</si>
  <si>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</si>
  <si>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</si>
  <si>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</si>
  <si>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</si>
  <si>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</si>
  <si>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</si>
  <si>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</si>
  <si>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</si>
  <si>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</si>
  <si>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</si>
  <si>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</si>
  <si>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</si>
  <si>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</si>
  <si>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</si>
  <si>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</si>
  <si>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</si>
  <si>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</si>
  <si>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</si>
  <si>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</si>
  <si>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</si>
  <si>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</si>
  <si>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</si>
  <si>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</si>
  <si>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</si>
  <si>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</si>
  <si>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</si>
  <si>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</si>
  <si>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</si>
  <si>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</si>
  <si>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</si>
  <si>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</si>
  <si>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</si>
  <si>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</si>
  <si>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</si>
  <si>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</si>
  <si>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</si>
  <si>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</si>
  <si>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</si>
  <si>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</si>
  <si>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</si>
  <si>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</si>
  <si>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</si>
  <si>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</si>
  <si>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</si>
  <si>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</si>
  <si>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</si>
  <si>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</si>
  <si>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</si>
  <si>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</si>
  <si>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</si>
  <si>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</si>
  <si>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</si>
  <si>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</si>
  <si>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</si>
  <si>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</si>
  <si>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</si>
  <si>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</si>
  <si>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</si>
  <si>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</si>
  <si>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</si>
  <si>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</si>
  <si>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</si>
  <si>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</si>
  <si>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</si>
  <si>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</si>
  <si>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</si>
  <si>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</si>
  <si>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</si>
  <si>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</si>
  <si>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</si>
  <si>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</si>
  <si>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</si>
  <si>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</si>
  <si>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</si>
  <si>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</si>
  <si>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</si>
  <si>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</si>
  <si>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</si>
  <si>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</si>
  <si>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Pick #</t>
  </si>
  <si>
    <t>Override Owner</t>
  </si>
  <si>
    <t>Akheem Mesidor</t>
  </si>
  <si>
    <t>Owner (Final)</t>
  </si>
  <si>
    <t>Round</t>
  </si>
  <si>
    <t>Original Owner</t>
  </si>
  <si>
    <t>New Owner</t>
  </si>
  <si>
    <t>Key</t>
  </si>
  <si>
    <t>Justin Joly</t>
  </si>
  <si>
    <t>Ed</t>
  </si>
  <si>
    <t>Eli Raridon</t>
  </si>
  <si>
    <t>DJ Rogers</t>
  </si>
  <si>
    <t>Lake McRee</t>
  </si>
  <si>
    <t>Cade Klubnik</t>
  </si>
  <si>
    <t>Brent</t>
  </si>
  <si>
    <t>Drew Allar</t>
  </si>
  <si>
    <t>Carson Beck</t>
  </si>
  <si>
    <t>Joey</t>
  </si>
  <si>
    <t>Joe Royer</t>
  </si>
  <si>
    <t>Sam Roush</t>
  </si>
  <si>
    <t>MaKayla</t>
  </si>
  <si>
    <t>Tanner Koziol</t>
  </si>
  <si>
    <t>Ty</t>
  </si>
  <si>
    <t>Jack Endries</t>
  </si>
  <si>
    <t>Matthew Hibner</t>
  </si>
  <si>
    <t>Kich</t>
  </si>
  <si>
    <t>Tyren Montgomery</t>
  </si>
  <si>
    <t>Eric</t>
  </si>
  <si>
    <t>Bryce Lance</t>
  </si>
  <si>
    <t>Kevin Coleman</t>
  </si>
  <si>
    <t>Collin</t>
  </si>
  <si>
    <t>Garrett Nussmeier</t>
  </si>
  <si>
    <t>Nate Boerkircher</t>
  </si>
  <si>
    <t>Roy</t>
  </si>
  <si>
    <t>Will Kacmarek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</si>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</sst>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93</v>
      </c>
      <c r="P29" s="8" t="s">
        <v>94</v>
      </c>
      <c r="Q29" s="10"/>
      <c r="R29" s="8" t="s">
        <v>95</v>
      </c>
      <c r="S29" s="8" t="s">
        <v>96</v>
      </c>
      <c r="T29" s="8" t="s">
        <v>98</v>
      </c>
      <c r="U29" s="10"/>
      <c r="V29" s="8" t="s">
        <v>99</v>
      </c>
      <c r="W29" s="8" t="s">
        <v>100</v>
      </c>
      <c r="X29" s="8" t="s">
        <v>101</v>
      </c>
      <c r="Y29" s="8" t="s">
        <v>102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104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109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112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115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117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120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122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125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128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99</v>
      </c>
      <c r="P44" s="8" t="s">
        <v>20</v>
      </c>
      <c r="Q44" s="8" t="s">
        <v>134</v>
      </c>
      <c r="R44" s="8" t="s">
        <v>94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128</v>
      </c>
      <c r="U66" s="16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125</v>
      </c>
      <c r="U67" s="16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122</v>
      </c>
      <c r="U68" s="16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120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117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115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112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109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104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113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118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126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123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111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103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110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1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1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11" t="s">
        <v>43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1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45</v>
      </c>
      <c r="L13" s="17">
        <f>SUMIF($D$2:$D$73,"",$C$2:$C$73)</f>
        <v>1200</v>
      </c>
    </row>
    <row r="14">
      <c r="A14" s="3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48</v>
      </c>
      <c r="L14" s="19">
        <f>IF(L13&gt;0,L6/L13,1)</f>
        <v>1</v>
      </c>
    </row>
    <row r="15">
      <c r="A15" s="3">
        <v>14.0</v>
      </c>
      <c r="B15" s="11" t="s">
        <v>49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1" t="s">
        <v>50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51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54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1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1" t="s">
        <v>97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1" t="s">
        <v>103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1" t="s">
        <v>105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1" t="s">
        <v>106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1" t="s">
        <v>107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1" t="s">
        <v>108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1" t="s">
        <v>110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1" t="s">
        <v>111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1" t="s">
        <v>113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1" t="s">
        <v>114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1" t="s">
        <v>116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1" t="s">
        <v>118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1" t="s">
        <v>119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1" t="s">
        <v>121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1" t="s">
        <v>123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1" t="s">
        <v>124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1" t="s">
        <v>126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1" t="s">
        <v>127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1" t="s">
        <v>129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130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