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<sst xmlns="http://schemas.openxmlformats.org/spreadsheetml/2006/main" count="312" uniqueCount="178">
  <si>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</si>
  <si>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</si>
  <si>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</si>
  <si>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</si>
  <si>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</si>
  <si>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</si>
  <si>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</si>
  <si>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</si>
  <si>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Fractions</t>
  </si>
  <si>
    <t>PreDraft$</t>
  </si>
  <si>
    <t>Monotone Rounded</t>
  </si>
  <si>
    <t>Final Price</t>
  </si>
  <si>
    <t>Final Dollar Per Pick</t>
  </si>
  <si>
    <t>Mine?</t>
  </si>
  <si>
    <t>Inflated Fair Price</t>
  </si>
  <si>
    <t>My Max Bid</t>
  </si>
  <si>
    <t>Pick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</si>
  <si>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</si>
  <si>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</si>
  <si>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</si>
  <si>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</si>
  <si>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</si>
  <si>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</si>
  <si>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</si>
  <si>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</si>
  <si>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</si>
  <si>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</si>
  <si>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</si>
  <si>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</si>
  <si>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</si>
  <si>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</si>
  <si>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</si>
  <si>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</si>
  <si>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</si>
  <si>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</si>
  <si>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</si>
  <si>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</si>
  <si>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</si>
  <si>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</si>
  <si>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</si>
  <si>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</si>
  <si>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</si>
  <si>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</si>
  <si>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Round 3</t>
  </si>
  <si>
    <t>Round 4</t>
  </si>
  <si>
    <t>Round 5</t>
  </si>
  <si>
    <t>Round 6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</si>
  <si>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</si>
  <si>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</si>
  <si>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</si>
  <si>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</si>
  <si>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</si>
  <si>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</si>
  <si>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</si>
  <si>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</si>
  <si>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</si>
  <si>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</si>
  <si>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</si>
  <si>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</si>
  <si>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</si>
  <si>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</si>
  <si>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</si>
  <si>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</si>
  <si>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</si>
  <si>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</si>
  <si>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</si>
  <si>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</si>
  <si>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</si>
  <si>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</si>
  <si>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</si>
  <si>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</si>
  <si>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</si>
  <si>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</si>
  <si>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</si>
  <si>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</si>
  <si>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</si>
  <si>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</si>
  <si>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</si>
  <si>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</si>
  <si>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</si>
  <si>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</si>
  <si>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</si>
  <si>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</si>
  <si>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Chris Bell</t>
  </si>
  <si>
    <t>Germie Bernard</t>
  </si>
  <si>
    <t>Nicholas Singleton</t>
  </si>
  <si>
    <t>Mike Washington</t>
  </si>
  <si>
    <t>Enforce % of Fair</t>
  </si>
  <si>
    <t>Antonio Williams</t>
  </si>
  <si>
    <t>Value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</si>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</sst>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10</v>
      </c>
      <c r="L1" s="8" t="s">
        <v>12</v>
      </c>
      <c r="M1" s="4">
        <v>12.0</v>
      </c>
      <c r="N1" s="10"/>
      <c r="O1" s="7" t="s">
        <v>16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9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9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9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44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9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45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9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46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9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9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62</v>
      </c>
      <c r="P29" s="7" t="s">
        <v>63</v>
      </c>
      <c r="Q29" s="10"/>
      <c r="R29" s="7" t="s">
        <v>64</v>
      </c>
      <c r="S29" s="7" t="s">
        <v>65</v>
      </c>
      <c r="T29" s="7" t="s">
        <v>66</v>
      </c>
      <c r="U29" s="10"/>
      <c r="V29" s="7" t="s">
        <v>67</v>
      </c>
      <c r="W29" s="7" t="s">
        <v>68</v>
      </c>
      <c r="X29" s="7" t="s">
        <v>69</v>
      </c>
      <c r="Y29" s="7" t="s">
        <v>70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71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72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73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74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75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76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77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78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79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80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81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82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67</v>
      </c>
      <c r="P44" s="7" t="s">
        <v>16</v>
      </c>
      <c r="Q44" s="7" t="s">
        <v>89</v>
      </c>
      <c r="R44" s="7" t="s">
        <v>63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2">
        <f t="shared" si="18"/>
        <v>1</v>
      </c>
      <c r="P46" s="22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2">
        <f t="shared" si="18"/>
        <v>1</v>
      </c>
      <c r="P47" s="22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2">
        <f t="shared" si="18"/>
        <v>1</v>
      </c>
      <c r="P48" s="22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2">
        <f t="shared" si="18"/>
        <v>1</v>
      </c>
      <c r="P49" s="22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2">
        <f t="shared" si="18"/>
        <v>1</v>
      </c>
      <c r="P50" s="22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2">
        <f t="shared" si="18"/>
        <v>1</v>
      </c>
      <c r="P51" s="22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2">
        <f t="shared" si="18"/>
        <v>1</v>
      </c>
      <c r="P52" s="22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2">
        <f t="shared" si="18"/>
        <v>1</v>
      </c>
      <c r="P53" s="22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2">
        <f t="shared" si="18"/>
        <v>1</v>
      </c>
      <c r="P54" s="22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2">
        <f t="shared" si="18"/>
        <v>1</v>
      </c>
      <c r="P55" s="22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2">
        <f t="shared" si="18"/>
        <v>1</v>
      </c>
      <c r="P56" s="22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2">
        <f t="shared" si="18"/>
        <v>2</v>
      </c>
      <c r="P57" s="22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2">
        <f t="shared" si="18"/>
        <v>2</v>
      </c>
      <c r="P58" s="22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2">
        <f t="shared" si="18"/>
        <v>2</v>
      </c>
      <c r="P59" s="22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2">
        <f t="shared" si="18"/>
        <v>2</v>
      </c>
      <c r="P60" s="22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2">
        <f t="shared" si="18"/>
        <v>2</v>
      </c>
      <c r="P61" s="22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2">
        <f t="shared" si="18"/>
        <v>2</v>
      </c>
      <c r="P62" s="22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2">
        <f t="shared" si="18"/>
        <v>2</v>
      </c>
      <c r="P63" s="22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82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2">
        <f t="shared" si="18"/>
        <v>2</v>
      </c>
      <c r="P64" s="22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81</v>
      </c>
      <c r="U64" s="16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2">
        <f t="shared" si="18"/>
        <v>2</v>
      </c>
      <c r="P65" s="22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80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2">
        <f t="shared" si="18"/>
        <v>2</v>
      </c>
      <c r="P66" s="22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79</v>
      </c>
      <c r="U66" s="16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2">
        <f t="shared" si="18"/>
        <v>2</v>
      </c>
      <c r="P67" s="22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78</v>
      </c>
      <c r="U67" s="16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2">
        <f t="shared" si="18"/>
        <v>2</v>
      </c>
      <c r="P68" s="22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77</v>
      </c>
      <c r="U68" s="16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2">
        <f t="shared" si="18"/>
        <v>3</v>
      </c>
      <c r="P69" s="22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76</v>
      </c>
      <c r="U69" s="16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2">
        <f t="shared" si="18"/>
        <v>3</v>
      </c>
      <c r="P70" s="22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75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2">
        <f t="shared" si="18"/>
        <v>3</v>
      </c>
      <c r="P71" s="22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74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2">
        <f t="shared" si="18"/>
        <v>3</v>
      </c>
      <c r="P72" s="22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73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2">
        <f t="shared" si="18"/>
        <v>3</v>
      </c>
      <c r="P73" s="22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72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2">
        <f t="shared" si="18"/>
        <v>3</v>
      </c>
      <c r="P74" s="22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71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2">
        <f t="shared" si="18"/>
        <v>3</v>
      </c>
      <c r="P75" s="22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2">
        <f t="shared" si="18"/>
        <v>3</v>
      </c>
      <c r="P76" s="22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2">
        <f t="shared" si="18"/>
        <v>3</v>
      </c>
      <c r="P77" s="22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2">
        <f t="shared" si="18"/>
        <v>3</v>
      </c>
      <c r="P78" s="22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2">
        <f t="shared" si="18"/>
        <v>3</v>
      </c>
      <c r="P79" s="22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2">
        <f t="shared" si="18"/>
        <v>3</v>
      </c>
      <c r="P80" s="22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2">
        <f t="shared" si="18"/>
        <v>4</v>
      </c>
      <c r="P81" s="22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2">
        <f t="shared" si="18"/>
        <v>4</v>
      </c>
      <c r="P82" s="22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2">
        <f t="shared" si="18"/>
        <v>4</v>
      </c>
      <c r="P83" s="22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2">
        <f t="shared" si="18"/>
        <v>4</v>
      </c>
      <c r="P84" s="22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2">
        <f t="shared" si="18"/>
        <v>4</v>
      </c>
      <c r="P85" s="22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2">
        <f t="shared" si="18"/>
        <v>4</v>
      </c>
      <c r="P86" s="22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2">
        <f t="shared" si="18"/>
        <v>4</v>
      </c>
      <c r="P87" s="22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2">
        <f t="shared" si="18"/>
        <v>4</v>
      </c>
      <c r="P88" s="22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2">
        <f t="shared" si="18"/>
        <v>4</v>
      </c>
      <c r="P89" s="22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2">
        <f t="shared" si="18"/>
        <v>4</v>
      </c>
      <c r="P90" s="22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2">
        <f t="shared" si="18"/>
        <v>4</v>
      </c>
      <c r="P91" s="22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2">
        <f t="shared" si="18"/>
        <v>4</v>
      </c>
      <c r="P92" s="22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2">
        <f t="shared" si="18"/>
        <v>5</v>
      </c>
      <c r="P93" s="22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2">
        <f t="shared" si="18"/>
        <v>5</v>
      </c>
      <c r="P94" s="22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2">
        <f t="shared" si="18"/>
        <v>5</v>
      </c>
      <c r="P95" s="22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2">
        <f t="shared" si="18"/>
        <v>5</v>
      </c>
      <c r="P96" s="22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2">
        <f t="shared" si="18"/>
        <v>5</v>
      </c>
      <c r="P97" s="22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2">
        <f t="shared" si="18"/>
        <v>5</v>
      </c>
      <c r="P98" s="22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2">
        <f t="shared" si="18"/>
        <v>5</v>
      </c>
      <c r="P99" s="22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2">
        <f t="shared" si="18"/>
        <v>5</v>
      </c>
      <c r="P100" s="22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2">
        <f t="shared" si="18"/>
        <v>5</v>
      </c>
      <c r="P101" s="22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2">
        <f t="shared" si="18"/>
        <v>5</v>
      </c>
      <c r="P102" s="22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2">
        <f t="shared" si="18"/>
        <v>5</v>
      </c>
      <c r="P103" s="22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2">
        <f t="shared" si="18"/>
        <v>5</v>
      </c>
      <c r="P104" s="22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2">
        <f t="shared" si="18"/>
        <v>6</v>
      </c>
      <c r="P105" s="22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2">
        <f t="shared" si="18"/>
        <v>6</v>
      </c>
      <c r="P106" s="22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2">
        <f t="shared" si="18"/>
        <v>6</v>
      </c>
      <c r="P107" s="22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2">
        <f t="shared" si="18"/>
        <v>6</v>
      </c>
      <c r="P108" s="22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2">
        <f t="shared" si="18"/>
        <v>6</v>
      </c>
      <c r="P109" s="22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2">
        <f t="shared" si="18"/>
        <v>6</v>
      </c>
      <c r="P110" s="22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2">
        <f t="shared" si="18"/>
        <v>6</v>
      </c>
      <c r="P111" s="22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2">
        <f t="shared" si="18"/>
        <v>6</v>
      </c>
      <c r="P112" s="22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2">
        <f t="shared" si="18"/>
        <v>6</v>
      </c>
      <c r="P113" s="22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2">
        <f t="shared" si="18"/>
        <v>6</v>
      </c>
      <c r="P114" s="22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2">
        <f t="shared" si="18"/>
        <v>6</v>
      </c>
      <c r="P115" s="22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2">
        <f t="shared" si="18"/>
        <v>6</v>
      </c>
      <c r="P116" s="22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2"/>
      <c r="L123" s="7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49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105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51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90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91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85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83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94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96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112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103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123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84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93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99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88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97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126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131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109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129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101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122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108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98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117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116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121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107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120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9</v>
      </c>
      <c r="D1" s="6" t="s">
        <v>11</v>
      </c>
      <c r="E1" s="6" t="s">
        <v>13</v>
      </c>
      <c r="F1" s="9" t="s">
        <v>14</v>
      </c>
      <c r="G1" s="9" t="s">
        <v>15</v>
      </c>
      <c r="H1" s="9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6" t="s">
        <v>25</v>
      </c>
      <c r="L4" s="9">
        <f>'Draft Data'!U63</f>
        <v>180</v>
      </c>
    </row>
    <row r="5">
      <c r="A5" s="6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6" t="s">
        <v>27</v>
      </c>
      <c r="L5" s="17">
        <f>SUM($D$2:$D$500)
</f>
        <v>0</v>
      </c>
    </row>
    <row r="6">
      <c r="A6" s="6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6" t="s">
        <v>29</v>
      </c>
      <c r="L6" s="17">
        <f>L2-L5
</f>
        <v>1200</v>
      </c>
    </row>
    <row r="7">
      <c r="A7" s="6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6" t="s">
        <v>31</v>
      </c>
      <c r="L7" s="17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6" t="s">
        <v>36</v>
      </c>
      <c r="L9" s="12">
        <f>L6-L8
</f>
        <v>1020</v>
      </c>
    </row>
    <row r="10">
      <c r="A10" s="6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6" t="s">
        <v>38</v>
      </c>
      <c r="L10" s="12">
        <f>IF(L3&gt;1,L9/(L3-1),0)</f>
        <v>92.72727273</v>
      </c>
    </row>
    <row r="11">
      <c r="A11" s="6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6" t="s">
        <v>40</v>
      </c>
      <c r="L11" s="19">
        <f>IF(L10&gt;0,L8/L10,1)</f>
        <v>1.941176471</v>
      </c>
    </row>
    <row r="12">
      <c r="A12" s="6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6">
        <v>12.0</v>
      </c>
      <c r="B13" s="11" t="s">
        <v>47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6" t="s">
        <v>48</v>
      </c>
      <c r="L13" s="17">
        <f>SUMIF($D$2:$D$73,"",$C$2:$C$73)</f>
        <v>1200</v>
      </c>
    </row>
    <row r="14">
      <c r="A14" s="6">
        <v>13.0</v>
      </c>
      <c r="B14" s="11" t="s">
        <v>49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6" t="s">
        <v>50</v>
      </c>
      <c r="L14" s="19">
        <f>IF(L13&gt;0,L6/L13,1)</f>
        <v>1</v>
      </c>
    </row>
    <row r="15">
      <c r="A15" s="6">
        <v>14.0</v>
      </c>
      <c r="B15" s="11" t="s">
        <v>51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6">
        <v>15.0</v>
      </c>
      <c r="B16" s="11" t="s">
        <v>52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6" t="s">
        <v>53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54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6">
        <v>17.0</v>
      </c>
      <c r="B18" s="11" t="s">
        <v>55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6" t="s">
        <v>56</v>
      </c>
      <c r="L18" s="20">
        <f>L5/L2</f>
        <v>0</v>
      </c>
    </row>
    <row r="19">
      <c r="A19" s="6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6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6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6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6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6">
        <v>23.0</v>
      </c>
      <c r="B24" s="11" t="s">
        <v>83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6">
        <v>24.0</v>
      </c>
      <c r="B25" s="11" t="s">
        <v>84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6">
        <v>25.0</v>
      </c>
      <c r="B26" s="11" t="s">
        <v>85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6">
        <v>26.0</v>
      </c>
      <c r="B27" s="11" t="s">
        <v>86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6" t="s">
        <v>87</v>
      </c>
      <c r="L27" s="6">
        <v>0.8</v>
      </c>
    </row>
    <row r="28">
      <c r="A28" s="6">
        <v>27.0</v>
      </c>
      <c r="B28" s="11" t="s">
        <v>88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6">
        <v>28.0</v>
      </c>
      <c r="B29" s="11" t="s">
        <v>90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6">
        <v>29.0</v>
      </c>
      <c r="B30" s="11" t="s">
        <v>91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6">
        <v>30.0</v>
      </c>
      <c r="B31" s="11" t="s">
        <v>92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6">
        <v>31.0</v>
      </c>
      <c r="B32" s="11" t="s">
        <v>93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6">
        <v>32.0</v>
      </c>
      <c r="B33" s="11" t="s">
        <v>94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6">
        <v>33.0</v>
      </c>
      <c r="B34" s="11" t="s">
        <v>95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6">
        <v>34.0</v>
      </c>
      <c r="B35" s="11" t="s">
        <v>96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6">
        <v>35.0</v>
      </c>
      <c r="B36" s="11" t="s">
        <v>97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6">
        <v>36.0</v>
      </c>
      <c r="B37" s="11" t="s">
        <v>98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6">
        <v>37.0</v>
      </c>
      <c r="B38" s="11" t="s">
        <v>99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6">
        <v>38.0</v>
      </c>
      <c r="B39" s="11" t="s">
        <v>100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6">
        <v>39.0</v>
      </c>
      <c r="B40" s="11" t="s">
        <v>101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6">
        <v>40.0</v>
      </c>
      <c r="B41" s="11" t="s">
        <v>102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6">
        <v>41.0</v>
      </c>
      <c r="B42" s="11" t="s">
        <v>103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6">
        <v>42.0</v>
      </c>
      <c r="B43" s="11" t="s">
        <v>104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6">
        <v>43.0</v>
      </c>
      <c r="B44" s="11" t="s">
        <v>105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6">
        <v>44.0</v>
      </c>
      <c r="B45" s="11" t="s">
        <v>106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6">
        <v>45.0</v>
      </c>
      <c r="B46" s="11" t="s">
        <v>107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6">
        <v>46.0</v>
      </c>
      <c r="B47" s="11" t="s">
        <v>108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6">
        <v>47.0</v>
      </c>
      <c r="B48" s="11" t="s">
        <v>109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6">
        <v>48.0</v>
      </c>
      <c r="B49" s="11" t="s">
        <v>110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6">
        <v>49.0</v>
      </c>
      <c r="B50" s="11" t="s">
        <v>111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6">
        <v>50.0</v>
      </c>
      <c r="B51" s="11" t="s">
        <v>112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6">
        <v>51.0</v>
      </c>
      <c r="B52" s="11" t="s">
        <v>113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6">
        <v>52.0</v>
      </c>
      <c r="B53" s="11" t="s">
        <v>114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6">
        <v>53.0</v>
      </c>
      <c r="B54" s="11" t="s">
        <v>115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6">
        <v>54.0</v>
      </c>
      <c r="B55" s="11" t="s">
        <v>116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6">
        <v>55.0</v>
      </c>
      <c r="B56" s="11" t="s">
        <v>117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6">
        <v>56.0</v>
      </c>
      <c r="B57" s="11" t="s">
        <v>118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6">
        <v>57.0</v>
      </c>
      <c r="B58" s="11" t="s">
        <v>119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6">
        <v>58.0</v>
      </c>
      <c r="B59" s="11" t="s">
        <v>120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6">
        <v>59.0</v>
      </c>
      <c r="B60" s="11" t="s">
        <v>121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6">
        <v>60.0</v>
      </c>
      <c r="B61" s="11" t="s">
        <v>122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6">
        <v>61.0</v>
      </c>
      <c r="B62" s="11" t="s">
        <v>123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6">
        <v>62.0</v>
      </c>
      <c r="B63" s="11" t="s">
        <v>124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6">
        <v>63.0</v>
      </c>
      <c r="B64" s="11" t="s">
        <v>125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6">
        <v>64.0</v>
      </c>
      <c r="B65" s="11" t="s">
        <v>126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6">
        <v>65.0</v>
      </c>
      <c r="B66" s="11" t="s">
        <v>127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6">
        <v>66.0</v>
      </c>
      <c r="B67" s="11" t="s">
        <v>128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6">
        <v>67.0</v>
      </c>
      <c r="B68" s="11" t="s">
        <v>129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6">
        <v>68.0</v>
      </c>
      <c r="B69" s="11" t="s">
        <v>130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6">
        <v>69.0</v>
      </c>
      <c r="B70" s="11" t="s">
        <v>131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6">
        <v>70.0</v>
      </c>
      <c r="B71" s="11" t="s">
        <v>132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6">
        <v>71.0</v>
      </c>
      <c r="B72" s="11" t="s">
        <v>133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6">
        <v>72.0</v>
      </c>
      <c r="B73" s="6" t="s">
        <v>134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