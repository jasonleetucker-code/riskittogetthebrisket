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<sst xmlns="http://schemas.openxmlformats.org/spreadsheetml/2006/main" count="312" uniqueCount="178">
  <si>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</si>
  <si>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</si>
  <si>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</si>
  <si>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</si>
  <si>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PLAYER NAME</t>
  </si>
  <si>
    <t>PreDraft$</t>
  </si>
  <si>
    <t>Final Price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</si>
  <si>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</si>
  <si>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</si>
  <si>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</si>
  <si>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</si>
  <si>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</si>
  <si>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</si>
  <si>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</si>
  <si>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</si>
  <si>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</si>
  <si>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</si>
  <si>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</si>
  <si>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</si>
  <si>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</si>
  <si>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</si>
  <si>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</si>
  <si>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</si>
  <si>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</si>
  <si>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</si>
  <si>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</si>
  <si>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</si>
  <si>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</si>
  <si>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</si>
  <si>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</si>
  <si>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</si>
  <si>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</si>
  <si>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</si>
  <si>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</si>
  <si>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</si>
  <si>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</si>
  <si>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</si>
  <si>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</si>
  <si>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</si>
  <si>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</si>
  <si>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</si>
  <si>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</si>
  <si>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</si>
  <si>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</si>
  <si>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</si>
  <si>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</si>
  <si>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</si>
  <si>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</si>
  <si>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</si>
  <si>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</si>
  <si>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</si>
  <si>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</si>
  <si>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</si>
  <si>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</si>
  <si>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</si>
  <si>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</si>
  <si>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</si>
  <si>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</si>
  <si>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</si>
  <si>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</si>
  <si>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</si>
  <si>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</si>
  <si>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</si>
  <si>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</si>
  <si>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</si>
  <si>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</si>
  <si>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</si>
  <si>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</si>
  <si>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</si>
  <si>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</si>
  <si>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</si>
  <si>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</si>
  <si>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</si>
  <si>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</si>
  <si>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</si>
  <si>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</si>
  <si>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</si>
  <si>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</si>
  <si>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</si>
  <si>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</si>
  <si>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</si>
  <si>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</si>
  <si>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</si>
  <si>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</si>
  <si>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</si>
  <si>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</si>
  <si>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</si>
  <si>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</si>
  <si>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</si>
  <si>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</si>
  <si>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</si>
  <si>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</si>
  <si>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</si>
  <si>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</si>
  <si>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</si>
  <si>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</si>
  <si>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</si>
  <si>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</si>
  <si>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</si>
  <si>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</si>
  <si>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</si>
  <si>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</si>
  <si>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</si>
  <si>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Justin Joly</t>
  </si>
  <si>
    <t>Eli Raridon</t>
  </si>
  <si>
    <t>Ed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</si>
  <si>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</si>
  <si>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</si>
  <si>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</si>
  <si>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</si>
  <si>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</si>
  <si>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</si>
  <si>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</si>
  <si>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</si>
  <si>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Brent</t>
  </si>
  <si>
    <t>Jack Endries</t>
  </si>
  <si>
    <t>Matthew Hibner</t>
  </si>
  <si>
    <t>Tyren Montgomery</t>
  </si>
  <si>
    <t>Joey</t>
  </si>
  <si>
    <t>Bryce Lance</t>
  </si>
  <si>
    <t>Kevin Coleman</t>
  </si>
  <si>
    <t>Garrett Nussmeier</t>
  </si>
  <si>
    <t>MaKayla</t>
  </si>
  <si>
    <t>Nate Boerkircher</t>
  </si>
  <si>
    <t>Will Kacmarek</t>
  </si>
  <si>
    <t>Ty</t>
  </si>
  <si>
    <t>Noah Whittington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</si>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</sst>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4" t="s">
        <v>3</v>
      </c>
      <c r="D1" s="4" t="s">
        <v>9</v>
      </c>
      <c r="E1" s="4" t="s">
        <v>10</v>
      </c>
      <c r="F1" s="5">
        <v>2025.0</v>
      </c>
      <c r="G1" s="5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5">
        <v>12.0</v>
      </c>
      <c r="N1" s="12"/>
      <c r="O1" s="9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9"/>
      <c r="AC1" s="9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94</v>
      </c>
      <c r="P29" s="9" t="s">
        <v>95</v>
      </c>
      <c r="Q29" s="12"/>
      <c r="R29" s="9" t="s">
        <v>96</v>
      </c>
      <c r="S29" s="9" t="s">
        <v>97</v>
      </c>
      <c r="T29" s="9" t="s">
        <v>98</v>
      </c>
      <c r="U29" s="12"/>
      <c r="V29" s="9" t="s">
        <v>99</v>
      </c>
      <c r="W29" s="9" t="s">
        <v>100</v>
      </c>
      <c r="X29" s="9" t="s">
        <v>101</v>
      </c>
      <c r="Y29" s="9" t="s">
        <v>102</v>
      </c>
      <c r="Z29" s="12"/>
      <c r="AA29" s="12"/>
      <c r="AB29" s="12"/>
      <c r="AC29" s="12"/>
      <c r="AD29" s="12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5">
        <v>1.0</v>
      </c>
      <c r="P30" s="9" t="s">
        <v>105</v>
      </c>
      <c r="Q30" s="12"/>
      <c r="R30" s="5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5">
        <v>2.0</v>
      </c>
      <c r="P31" s="9" t="s">
        <v>114</v>
      </c>
      <c r="Q31" s="12"/>
      <c r="R31" s="5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5">
        <v>3.0</v>
      </c>
      <c r="P32" s="9" t="s">
        <v>118</v>
      </c>
      <c r="Q32" s="12"/>
      <c r="R32" s="5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5">
        <v>4.0</v>
      </c>
      <c r="P33" s="9" t="s">
        <v>122</v>
      </c>
      <c r="Q33" s="12"/>
      <c r="R33" s="5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5">
        <v>5.0</v>
      </c>
      <c r="P34" s="9" t="s">
        <v>125</v>
      </c>
      <c r="Q34" s="12"/>
      <c r="R34" s="5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5">
        <v>6.0</v>
      </c>
      <c r="P35" s="9" t="s">
        <v>127</v>
      </c>
      <c r="Q35" s="12"/>
      <c r="R35" s="5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5">
        <v>7.0</v>
      </c>
      <c r="P36" s="9" t="s">
        <v>128</v>
      </c>
      <c r="Q36" s="12"/>
      <c r="R36" s="5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5">
        <v>8.0</v>
      </c>
      <c r="P37" s="9" t="s">
        <v>129</v>
      </c>
      <c r="Q37" s="12"/>
      <c r="R37" s="5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5">
        <v>9.0</v>
      </c>
      <c r="P38" s="9" t="s">
        <v>130</v>
      </c>
      <c r="Q38" s="12"/>
      <c r="R38" s="5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5">
        <v>10.0</v>
      </c>
      <c r="P39" s="9" t="s">
        <v>131</v>
      </c>
      <c r="Q39" s="12"/>
      <c r="R39" s="5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5">
        <v>11.0</v>
      </c>
      <c r="P40" s="9" t="s">
        <v>132</v>
      </c>
      <c r="Q40" s="12"/>
      <c r="R40" s="5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5">
        <v>12.0</v>
      </c>
      <c r="P41" s="9" t="s">
        <v>133</v>
      </c>
      <c r="Q41" s="12"/>
      <c r="R41" s="5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99</v>
      </c>
      <c r="P44" s="9" t="s">
        <v>20</v>
      </c>
      <c r="Q44" s="9" t="s">
        <v>134</v>
      </c>
      <c r="R44" s="9" t="s">
        <v>95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125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122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118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114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105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2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53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56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58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63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61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111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62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115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121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119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110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104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103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109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108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2</v>
      </c>
      <c r="B1" s="3" t="s">
        <v>4</v>
      </c>
      <c r="C1" s="3" t="s">
        <v>5</v>
      </c>
      <c r="D1" s="3" t="s">
        <v>6</v>
      </c>
      <c r="E1" s="3" t="s">
        <v>7</v>
      </c>
      <c r="F1" s="6" t="s">
        <v>8</v>
      </c>
      <c r="G1" s="6" t="s">
        <v>11</v>
      </c>
      <c r="H1" s="6" t="s">
        <v>12</v>
      </c>
      <c r="I1" s="3" t="s">
        <v>13</v>
      </c>
      <c r="K1" s="3" t="s">
        <v>14</v>
      </c>
    </row>
    <row r="2">
      <c r="A2" s="3">
        <v>1.0</v>
      </c>
      <c r="B2" s="8" t="s">
        <v>15</v>
      </c>
      <c r="C2" s="10">
        <v>139.0</v>
      </c>
      <c r="D2" s="3"/>
      <c r="E2" s="3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8" t="s">
        <v>22</v>
      </c>
      <c r="C3" s="10">
        <v>106.5</v>
      </c>
      <c r="D3" s="3"/>
      <c r="E3" s="3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8" t="s">
        <v>24</v>
      </c>
      <c r="C4" s="10">
        <v>93.0</v>
      </c>
      <c r="D4" s="3"/>
      <c r="E4" s="3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0">
        <f>L4-L7
</f>
        <v>180</v>
      </c>
    </row>
    <row r="9">
      <c r="A9" s="3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0">
        <f>L6-L8
</f>
        <v>1020</v>
      </c>
    </row>
    <row r="10">
      <c r="A10" s="3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0">
        <f>IF(L3&gt;1,L9/(L3-1),0)</f>
        <v>92.72727273</v>
      </c>
    </row>
    <row r="11">
      <c r="A11" s="3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8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8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44</v>
      </c>
      <c r="L13" s="17">
        <f>SUMIF($D$2:$D$73,"",$C$2:$C$73)</f>
        <v>1200</v>
      </c>
    </row>
    <row r="14">
      <c r="A14" s="3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49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8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8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54</v>
      </c>
      <c r="L18" s="20">
        <f>L5/L2</f>
        <v>0</v>
      </c>
    </row>
    <row r="19">
      <c r="A19" s="3">
        <v>18.0</v>
      </c>
      <c r="B19" s="8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8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8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8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8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8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8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8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8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8" t="s">
        <v>103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8" t="s">
        <v>104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8" t="s">
        <v>106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8" t="s">
        <v>107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8" t="s">
        <v>108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8" t="s">
        <v>109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8" t="s">
        <v>110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8" t="s">
        <v>111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8" t="s">
        <v>112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8" t="s">
        <v>113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8" t="s">
        <v>115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8" t="s">
        <v>116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8" t="s">
        <v>117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8" t="s">
        <v>119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8" t="s">
        <v>120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8" t="s">
        <v>121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8" t="s">
        <v>123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8" t="s">
        <v>124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126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