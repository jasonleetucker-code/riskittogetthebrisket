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<sst xmlns="http://schemas.openxmlformats.org/spreadsheetml/2006/main" count="312" uniqueCount="178">
  <si>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</si>
  <si>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</si>
  <si>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</si>
  <si>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</si>
  <si>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</si>
  <si>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</si>
  <si>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</si>
  <si>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</si>
  <si>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</si>
  <si>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Spine</t>
  </si>
  <si>
    <t>Inflated Fair Price</t>
  </si>
  <si>
    <t>My Max Bid</t>
  </si>
  <si>
    <t>EnforceUpTo</t>
  </si>
  <si>
    <t>Value vs Fair</t>
  </si>
  <si>
    <t>Floors</t>
  </si>
  <si>
    <t>Settings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</si>
  <si>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</si>
  <si>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</si>
  <si>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</si>
  <si>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</si>
  <si>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</si>
  <si>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</si>
  <si>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</si>
  <si>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</si>
  <si>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</si>
  <si>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</si>
  <si>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</si>
  <si>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</si>
  <si>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</si>
  <si>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</si>
  <si>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</si>
  <si>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</si>
  <si>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</si>
  <si>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</si>
  <si>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</si>
  <si>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</si>
  <si>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</si>
  <si>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</si>
  <si>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2</t>
  </si>
  <si>
    <t>Avg $ per Other Team</t>
  </si>
  <si>
    <t>Eli Stowers</t>
  </si>
  <si>
    <t>Budget Advantage Factor</t>
  </si>
  <si>
    <t>Omar Cooper</t>
  </si>
  <si>
    <t>Round 3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</si>
  <si>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</si>
  <si>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</si>
  <si>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</si>
  <si>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</si>
  <si>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</si>
  <si>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</si>
  <si>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</si>
  <si>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</si>
  <si>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</si>
  <si>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</si>
  <si>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</si>
  <si>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</si>
  <si>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</si>
  <si>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</si>
  <si>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</si>
  <si>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</si>
  <si>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</si>
  <si>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</si>
  <si>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</si>
  <si>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</si>
  <si>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</si>
  <si>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</si>
  <si>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</si>
  <si>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</si>
  <si>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</si>
  <si>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</si>
  <si>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</si>
  <si>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</si>
  <si>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</si>
  <si>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</si>
  <si>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</si>
  <si>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</si>
  <si>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</si>
  <si>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</si>
  <si>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</si>
  <si>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Round 5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</si>
  <si>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</si>
  <si>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</si>
  <si>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</si>
  <si>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</si>
  <si>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</si>
  <si>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</si>
  <si>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</si>
  <si>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</si>
  <si>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Round 6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</si>
  <si>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</si>
  <si>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</si>
  <si>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</si>
  <si>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</si>
  <si>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</si>
  <si>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</si>
  <si>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</si>
  <si>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</si>
  <si>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</si>
  <si>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</si>
  <si>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</si>
  <si>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</si>
  <si>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</si>
  <si>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</si>
  <si>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</si>
  <si>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</si>
  <si>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</si>
  <si>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</si>
  <si>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</si>
  <si>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</si>
  <si>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</si>
  <si>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</si>
  <si>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</si>
  <si>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</si>
  <si>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</si>
  <si>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Matthew Hibner</t>
  </si>
  <si>
    <t>Ed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</si>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</sst>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9</v>
      </c>
      <c r="F1" s="6">
        <v>2025.0</v>
      </c>
      <c r="G1" s="6">
        <v>2024.0</v>
      </c>
      <c r="H1" s="7">
        <v>2026.0</v>
      </c>
      <c r="I1" s="8" t="s">
        <v>14</v>
      </c>
      <c r="J1" s="8" t="s">
        <v>16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38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79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88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105</v>
      </c>
      <c r="P29" s="8" t="s">
        <v>106</v>
      </c>
      <c r="Q29" s="12"/>
      <c r="R29" s="8" t="s">
        <v>107</v>
      </c>
      <c r="S29" s="8" t="s">
        <v>108</v>
      </c>
      <c r="T29" s="8" t="s">
        <v>109</v>
      </c>
      <c r="U29" s="12"/>
      <c r="V29" s="8" t="s">
        <v>110</v>
      </c>
      <c r="W29" s="8" t="s">
        <v>111</v>
      </c>
      <c r="X29" s="8" t="s">
        <v>112</v>
      </c>
      <c r="Y29" s="8" t="s">
        <v>113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115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110</v>
      </c>
      <c r="P44" s="8" t="s">
        <v>20</v>
      </c>
      <c r="Q44" s="8" t="s">
        <v>134</v>
      </c>
      <c r="R44" s="8" t="s">
        <v>106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115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46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82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40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66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67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62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70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72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80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61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69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75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65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73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119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86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117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77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85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74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84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10</v>
      </c>
      <c r="G1" s="5" t="s">
        <v>11</v>
      </c>
      <c r="H1" s="5" t="s">
        <v>12</v>
      </c>
      <c r="I1" s="2" t="s">
        <v>13</v>
      </c>
      <c r="K1" s="2" t="s">
        <v>15</v>
      </c>
    </row>
    <row r="2">
      <c r="A2" s="2">
        <v>1.0</v>
      </c>
      <c r="B2" s="9" t="s">
        <v>17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39</v>
      </c>
      <c r="L10" s="10">
        <f>IF(L3&gt;1,L9/(L3-1),0)</f>
        <v>92.72727273</v>
      </c>
    </row>
    <row r="11">
      <c r="A11" s="2">
        <v>10.0</v>
      </c>
      <c r="B11" s="9" t="s">
        <v>40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44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45</v>
      </c>
      <c r="L13" s="17">
        <f>SUMIF($D$2:$D$73,"",$C$2:$C$73)</f>
        <v>1200</v>
      </c>
    </row>
    <row r="14">
      <c r="A14" s="2">
        <v>13.0</v>
      </c>
      <c r="B14" s="9" t="s">
        <v>46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9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62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63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9" t="s">
        <v>65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66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67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68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69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70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71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72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73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74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75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76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77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78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80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81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82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83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84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85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86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87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114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116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117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118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119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120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121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