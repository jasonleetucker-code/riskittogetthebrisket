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<sst xmlns="http://schemas.openxmlformats.org/spreadsheetml/2006/main" count="312" uniqueCount="178">
  <si>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</si>
  <si>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</si>
  <si>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</si>
  <si>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</si>
  <si>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</si>
  <si>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</si>
  <si>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</si>
  <si>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</si>
  <si>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</si>
  <si>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</si>
  <si>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</si>
  <si>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</si>
  <si>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</si>
  <si>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</si>
  <si>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</si>
  <si>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</si>
  <si>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</si>
  <si>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</si>
  <si>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</si>
  <si>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</si>
  <si>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</si>
  <si>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</si>
  <si>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</si>
  <si>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</si>
  <si>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</si>
  <si>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</si>
  <si>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</si>
  <si>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</si>
  <si>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</si>
  <si>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</si>
  <si>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</si>
  <si>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</si>
  <si>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</si>
  <si>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</si>
  <si>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</si>
  <si>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</si>
  <si>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</si>
  <si>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</si>
  <si>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</si>
  <si>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Round 4</t>
  </si>
  <si>
    <t>Jadarian Price</t>
  </si>
  <si>
    <t>Avg $ per Other Team</t>
  </si>
  <si>
    <t>Eli Stowers</t>
  </si>
  <si>
    <t>Round 5</t>
  </si>
  <si>
    <t>Budget Advantage Factor</t>
  </si>
  <si>
    <t>Omar Cooper</t>
  </si>
  <si>
    <t>Round 6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</si>
  <si>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</si>
  <si>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</si>
  <si>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</si>
  <si>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</si>
  <si>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</si>
  <si>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</si>
  <si>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</si>
  <si>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</si>
  <si>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</si>
  <si>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</si>
  <si>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</si>
  <si>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</si>
  <si>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</si>
  <si>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</si>
  <si>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</si>
  <si>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</si>
  <si>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</si>
  <si>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</si>
  <si>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</si>
  <si>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</si>
  <si>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</si>
  <si>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</si>
  <si>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</si>
  <si>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</si>
  <si>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</si>
  <si>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</si>
  <si>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</si>
  <si>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</si>
  <si>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</si>
  <si>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</si>
  <si>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</si>
  <si>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</si>
  <si>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</si>
  <si>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</si>
  <si>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</si>
  <si>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</si>
  <si>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</si>
  <si>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</si>
  <si>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</si>
  <si>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</si>
  <si>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Anthony Hill</t>
  </si>
  <si>
    <t>Ed</t>
  </si>
  <si>
    <t>Skyler Bell</t>
  </si>
  <si>
    <t>A.J. Haulcy</t>
  </si>
  <si>
    <t>Josiah Trotter</t>
  </si>
  <si>
    <t>Brent</t>
  </si>
  <si>
    <t>Dani Dennis-Sutton</t>
  </si>
  <si>
    <t>Joey</t>
  </si>
  <si>
    <t>Emmanuel McNeil-Warren</t>
  </si>
  <si>
    <t>R Mason Thomas</t>
  </si>
  <si>
    <t>MaKayla</t>
  </si>
  <si>
    <t>Oscar Delp</t>
  </si>
  <si>
    <t>Ty</t>
  </si>
  <si>
    <t>Michael Trigg</t>
  </si>
  <si>
    <t>Kich</t>
  </si>
  <si>
    <t>Demond Claiborne</t>
  </si>
  <si>
    <t>Malachi Lawrence</t>
  </si>
  <si>
    <t>Eric</t>
  </si>
  <si>
    <t>CJ Donaldson</t>
  </si>
  <si>
    <t>T.J. Parker</t>
  </si>
  <si>
    <t>Collin</t>
  </si>
  <si>
    <t>Cashius Howell</t>
  </si>
  <si>
    <t>Roy</t>
  </si>
  <si>
    <t>Keldric Faulk</t>
  </si>
  <si>
    <t>Jason</t>
  </si>
  <si>
    <t>Akheem Mesidor</t>
  </si>
  <si>
    <t>Justin Joly</t>
  </si>
  <si>
    <t>Blaine</t>
  </si>
  <si>
    <t>Eli Raridon</t>
  </si>
  <si>
    <t>DJ Rogers</t>
  </si>
  <si>
    <t>Joel</t>
  </si>
  <si>
    <t>Lake McRee</t>
  </si>
  <si>
    <t>Cade Klubnik</t>
  </si>
  <si>
    <t>Drew Allar</t>
  </si>
  <si>
    <t>Carson Beck</t>
  </si>
  <si>
    <t>Value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</si>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</sst>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39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43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46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78</v>
      </c>
      <c r="P29" s="8" t="s">
        <v>79</v>
      </c>
      <c r="Q29" s="11"/>
      <c r="R29" s="8" t="s">
        <v>80</v>
      </c>
      <c r="S29" s="8" t="s">
        <v>81</v>
      </c>
      <c r="T29" s="8" t="s">
        <v>82</v>
      </c>
      <c r="U29" s="11"/>
      <c r="V29" s="8" t="s">
        <v>83</v>
      </c>
      <c r="W29" s="8" t="s">
        <v>84</v>
      </c>
      <c r="X29" s="8" t="s">
        <v>85</v>
      </c>
      <c r="Y29" s="8" t="s">
        <v>86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6">
        <v>1.0</v>
      </c>
      <c r="P30" s="8" t="s">
        <v>88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6">
        <v>2.0</v>
      </c>
      <c r="P31" s="8" t="s">
        <v>92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6">
        <v>3.0</v>
      </c>
      <c r="P32" s="8" t="s">
        <v>94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6">
        <v>4.0</v>
      </c>
      <c r="P33" s="8" t="s">
        <v>97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6">
        <v>5.0</v>
      </c>
      <c r="P34" s="8" t="s">
        <v>99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6">
        <v>6.0</v>
      </c>
      <c r="P35" s="8" t="s">
        <v>101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6">
        <v>7.0</v>
      </c>
      <c r="P36" s="8" t="s">
        <v>104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6">
        <v>8.0</v>
      </c>
      <c r="P37" s="8" t="s">
        <v>107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6">
        <v>9.0</v>
      </c>
      <c r="P38" s="8" t="s">
        <v>109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6">
        <v>10.0</v>
      </c>
      <c r="P39" s="8" t="s">
        <v>111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6">
        <v>11.0</v>
      </c>
      <c r="P40" s="8" t="s">
        <v>114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6">
        <v>12.0</v>
      </c>
      <c r="P41" s="8" t="s">
        <v>117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83</v>
      </c>
      <c r="P44" s="8" t="s">
        <v>20</v>
      </c>
      <c r="Q44" s="8" t="s">
        <v>122</v>
      </c>
      <c r="R44" s="8" t="s">
        <v>79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117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114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111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109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107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104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101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2">
        <f t="shared" si="18"/>
        <v>3</v>
      </c>
      <c r="P70" s="22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99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2">
        <f t="shared" si="18"/>
        <v>3</v>
      </c>
      <c r="P71" s="22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97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2">
        <f t="shared" si="18"/>
        <v>3</v>
      </c>
      <c r="P72" s="22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94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92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88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2">
        <f t="shared" si="18"/>
        <v>4</v>
      </c>
      <c r="P83" s="22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2">
        <f t="shared" si="18"/>
        <v>4</v>
      </c>
      <c r="P84" s="22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2">
        <f t="shared" si="18"/>
        <v>4</v>
      </c>
      <c r="P85" s="22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2">
        <f t="shared" si="18"/>
        <v>4</v>
      </c>
      <c r="P89" s="22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2">
        <f t="shared" si="18"/>
        <v>5</v>
      </c>
      <c r="P93" s="22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2">
        <f t="shared" si="18"/>
        <v>5</v>
      </c>
      <c r="P94" s="22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2">
        <f t="shared" si="18"/>
        <v>5</v>
      </c>
      <c r="P95" s="22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2">
        <f t="shared" si="18"/>
        <v>5</v>
      </c>
      <c r="P96" s="22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2">
        <f t="shared" si="18"/>
        <v>5</v>
      </c>
      <c r="P97" s="22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2">
        <f t="shared" si="18"/>
        <v>5</v>
      </c>
      <c r="P98" s="22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2">
        <f t="shared" si="18"/>
        <v>5</v>
      </c>
      <c r="P99" s="22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2"/>
      <c r="L123" s="8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25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27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34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32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52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49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37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95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40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42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51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106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91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123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126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131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102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129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89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121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100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115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113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120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98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119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14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10" t="s">
        <v>25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10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31</v>
      </c>
      <c r="L6" s="18">
        <f>L2-L5
</f>
        <v>1200</v>
      </c>
    </row>
    <row r="7">
      <c r="A7" s="2">
        <v>6.0</v>
      </c>
      <c r="B7" s="10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33</v>
      </c>
      <c r="L7" s="18">
        <f>SUMIF($E$2:$E$500,TRUE,$D$2:$D$500)</f>
        <v>0</v>
      </c>
    </row>
    <row r="8">
      <c r="A8" s="2">
        <v>7.0</v>
      </c>
      <c r="B8" s="10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36</v>
      </c>
      <c r="L8" s="12">
        <f>L4-L7
</f>
        <v>180</v>
      </c>
    </row>
    <row r="9">
      <c r="A9" s="2">
        <v>8.0</v>
      </c>
      <c r="B9" s="10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38</v>
      </c>
      <c r="L9" s="12">
        <f>L6-L8
</f>
        <v>1020</v>
      </c>
    </row>
    <row r="10">
      <c r="A10" s="2">
        <v>9.0</v>
      </c>
      <c r="B10" s="10" t="s">
        <v>40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41</v>
      </c>
      <c r="L10" s="12">
        <f>IF(L3&gt;1,L9/(L3-1),0)</f>
        <v>92.72727273</v>
      </c>
    </row>
    <row r="11">
      <c r="A11" s="2">
        <v>10.0</v>
      </c>
      <c r="B11" s="10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44</v>
      </c>
      <c r="L11" s="19">
        <f>IF(L10&gt;0,L8/L10,1)</f>
        <v>1.941176471</v>
      </c>
    </row>
    <row r="12">
      <c r="A12" s="2">
        <v>11.0</v>
      </c>
      <c r="B12" s="10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0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48</v>
      </c>
      <c r="L13" s="18">
        <f>SUMIF($D$2:$D$73,"",$C$2:$C$73)</f>
        <v>1200</v>
      </c>
    </row>
    <row r="14">
      <c r="A14" s="2">
        <v>13.0</v>
      </c>
      <c r="B14" s="10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50</v>
      </c>
      <c r="L14" s="19">
        <f>IF(L13&gt;0,L6/L13,1)</f>
        <v>1</v>
      </c>
    </row>
    <row r="15">
      <c r="A15" s="2">
        <v>14.0</v>
      </c>
      <c r="B15" s="10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0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0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0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0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0" t="s">
        <v>87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0" t="s">
        <v>89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0" t="s">
        <v>90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0" t="s">
        <v>91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0" t="s">
        <v>93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0" t="s">
        <v>95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0" t="s">
        <v>96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0" t="s">
        <v>98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0" t="s">
        <v>100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0" t="s">
        <v>102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0" t="s">
        <v>103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0" t="s">
        <v>105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0" t="s">
        <v>106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0" t="s">
        <v>108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0" t="s">
        <v>110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0" t="s">
        <v>112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0" t="s">
        <v>113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0" t="s">
        <v>115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0" t="s">
        <v>116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0" t="s">
        <v>118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0" t="s">
        <v>119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0" t="s">
        <v>120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0" t="s">
        <v>121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0" t="s">
        <v>123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0" t="s">
        <v>124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0" t="s">
        <v>125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0" t="s">
        <v>126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0" t="s">
        <v>127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0" t="s">
        <v>128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0" t="s">
        <v>129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0" t="s">
        <v>130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0" t="s">
        <v>131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0" t="s">
        <v>132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0" t="s">
        <v>133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134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