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<sst xmlns="http://schemas.openxmlformats.org/spreadsheetml/2006/main" count="312" uniqueCount="178">
  <si>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</si>
  <si>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</si>
  <si>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</si>
  <si>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</si>
  <si>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</si>
  <si>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</si>
  <si>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</si>
  <si>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</si>
  <si>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</si>
  <si>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</si>
  <si>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</si>
  <si>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My Max Bid</t>
  </si>
  <si>
    <t>Floors</t>
  </si>
  <si>
    <t>Fractions</t>
  </si>
  <si>
    <t>Monotone Rounded</t>
  </si>
  <si>
    <t>EnforceUpTo</t>
  </si>
  <si>
    <t>Final Dollar Per Pick</t>
  </si>
  <si>
    <t>Value vs Fair</t>
  </si>
  <si>
    <t>Settings</t>
  </si>
  <si>
    <t>Pick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</si>
  <si>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</si>
  <si>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</si>
  <si>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</si>
  <si>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</si>
  <si>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</si>
  <si>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</si>
  <si>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</si>
  <si>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</si>
  <si>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</si>
  <si>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Round 2</t>
  </si>
  <si>
    <t>Makai Lemon</t>
  </si>
  <si>
    <t>Remaining Leage $</t>
  </si>
  <si>
    <t>Kenyon Sadiq</t>
  </si>
  <si>
    <t>My Spent</t>
  </si>
  <si>
    <t>Sonny Styles</t>
  </si>
  <si>
    <t>Round 3</t>
  </si>
  <si>
    <t>My Remaining</t>
  </si>
  <si>
    <t>KC Concepcion</t>
  </si>
  <si>
    <t>Other Teams Remaining</t>
  </si>
  <si>
    <t>Jadarian Price</t>
  </si>
  <si>
    <t>Avg $ per Other Team</t>
  </si>
  <si>
    <t>Round 4</t>
  </si>
  <si>
    <t>Eli Stowers</t>
  </si>
  <si>
    <t>Budget Advantage Factor</t>
  </si>
  <si>
    <t>Omar Cooper</t>
  </si>
  <si>
    <t>CJ Allen</t>
  </si>
  <si>
    <t>Undrafted Predraft$</t>
  </si>
  <si>
    <t>Arvell Reese</t>
  </si>
  <si>
    <t>Round 5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</si>
  <si>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</si>
  <si>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</si>
  <si>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</si>
  <si>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</si>
  <si>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</si>
  <si>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</si>
  <si>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</si>
  <si>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</si>
  <si>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</si>
  <si>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</si>
  <si>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</si>
  <si>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</si>
  <si>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</si>
  <si>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</si>
  <si>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</si>
  <si>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</si>
  <si>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</si>
  <si>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</si>
  <si>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</si>
  <si>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</si>
  <si>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</si>
  <si>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</si>
  <si>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</si>
  <si>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</si>
  <si>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</si>
  <si>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</si>
  <si>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</si>
  <si>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</si>
  <si>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</si>
  <si>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</si>
  <si>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</si>
  <si>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</si>
  <si>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</si>
  <si>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</si>
  <si>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</si>
  <si>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</si>
  <si>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</si>
  <si>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</si>
  <si>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</si>
  <si>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</si>
  <si>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</si>
  <si>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</si>
  <si>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</si>
  <si>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</si>
  <si>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</si>
  <si>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</si>
  <si>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</si>
  <si>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</si>
  <si>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</si>
  <si>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</si>
  <si>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</si>
  <si>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</si>
  <si>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</si>
  <si>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</si>
  <si>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</si>
  <si>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</si>
  <si>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</si>
  <si>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</si>
  <si>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</si>
  <si>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</si>
  <si>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</si>
  <si>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Garrett Nussmeier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</si>
  <si>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</si>
  <si>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</si>
  <si>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</si>
  <si>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</si>
  <si>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</si>
  <si>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</si>
  <si>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</si>
  <si>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</si>
  <si>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</si>
  <si>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Will Kacmarek</t>
  </si>
  <si>
    <t>Ed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</si>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</sst>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13</v>
      </c>
      <c r="K1" s="8" t="s">
        <v>14</v>
      </c>
      <c r="L1" s="9" t="s">
        <v>16</v>
      </c>
      <c r="M1" s="5">
        <v>12.0</v>
      </c>
      <c r="N1" s="10"/>
      <c r="O1" s="8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29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6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0"/>
      <c r="N4" s="10"/>
      <c r="O4" s="8" t="s">
        <v>35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6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0"/>
      <c r="N5" s="10"/>
      <c r="O5" s="8" t="s">
        <v>41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6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0"/>
      <c r="N6" s="10"/>
      <c r="O6" s="8" t="s">
        <v>48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6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0"/>
      <c r="N7" s="10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6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0"/>
      <c r="N8" s="10"/>
      <c r="O8" s="10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6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6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0"/>
      <c r="N10" s="10"/>
      <c r="O10" s="10"/>
      <c r="P10" s="15"/>
      <c r="Q10" s="15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6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0"/>
      <c r="N11" s="10"/>
      <c r="O11" s="10"/>
      <c r="P11" s="15"/>
      <c r="Q11" s="15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6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0"/>
      <c r="N12" s="10"/>
      <c r="O12" s="10"/>
      <c r="P12" s="15"/>
      <c r="Q12" s="15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6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0"/>
      <c r="N13" s="10"/>
      <c r="O13" s="10"/>
      <c r="P13" s="15"/>
      <c r="Q13" s="15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6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0"/>
      <c r="N14" s="10"/>
      <c r="O14" s="10"/>
      <c r="P14" s="15"/>
      <c r="Q14" s="15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6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0"/>
      <c r="N15" s="10"/>
      <c r="O15" s="10"/>
      <c r="P15" s="15"/>
      <c r="Q15" s="15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6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0"/>
      <c r="N16" s="10"/>
      <c r="O16" s="10"/>
      <c r="P16" s="15"/>
      <c r="Q16" s="15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6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6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6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6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6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6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6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6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6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6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6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6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6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0"/>
      <c r="N29" s="10"/>
      <c r="O29" s="8" t="s">
        <v>109</v>
      </c>
      <c r="P29" s="8" t="s">
        <v>111</v>
      </c>
      <c r="Q29" s="10"/>
      <c r="R29" s="8" t="s">
        <v>112</v>
      </c>
      <c r="S29" s="8" t="s">
        <v>113</v>
      </c>
      <c r="T29" s="8" t="s">
        <v>114</v>
      </c>
      <c r="U29" s="10"/>
      <c r="V29" s="8" t="s">
        <v>115</v>
      </c>
      <c r="W29" s="8" t="s">
        <v>116</v>
      </c>
      <c r="X29" s="8" t="s">
        <v>117</v>
      </c>
      <c r="Y29" s="8" t="s">
        <v>118</v>
      </c>
      <c r="Z29" s="10"/>
      <c r="AA29" s="10"/>
      <c r="AB29" s="10"/>
      <c r="AC29" s="10"/>
      <c r="AD29" s="10"/>
    </row>
    <row r="30">
      <c r="A30" s="13">
        <v>3.05</v>
      </c>
      <c r="B30" s="6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0"/>
      <c r="N30" s="10"/>
      <c r="O30" s="5">
        <v>1.0</v>
      </c>
      <c r="P30" s="8" t="s">
        <v>121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6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7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6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7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6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7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6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7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6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7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6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7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6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7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6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7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6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7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6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7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6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7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7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6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7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6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0"/>
      <c r="N44" s="10"/>
      <c r="O44" s="8" t="s">
        <v>115</v>
      </c>
      <c r="P44" s="8" t="s">
        <v>19</v>
      </c>
      <c r="Q44" s="8" t="s">
        <v>134</v>
      </c>
      <c r="R44" s="8" t="s">
        <v>111</v>
      </c>
      <c r="S44" s="10"/>
      <c r="T44" s="10"/>
      <c r="U44" s="10"/>
      <c r="V44" s="7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6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7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6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0" t="str">
        <f t="shared" si="21"/>
        <v>Blaine</v>
      </c>
      <c r="S46" s="10"/>
      <c r="T46" s="10"/>
      <c r="U46" s="10"/>
      <c r="V46" s="7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6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0" t="str">
        <f t="shared" si="21"/>
        <v>Jason</v>
      </c>
      <c r="S47" s="10"/>
      <c r="T47" s="10"/>
      <c r="U47" s="10"/>
      <c r="V47" s="7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6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0" t="str">
        <f t="shared" si="21"/>
        <v>Roy</v>
      </c>
      <c r="S48" s="10"/>
      <c r="T48" s="10"/>
      <c r="U48" s="10"/>
      <c r="V48" s="7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6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0" t="str">
        <f t="shared" si="21"/>
        <v>Collin</v>
      </c>
      <c r="S49" s="10"/>
      <c r="T49" s="10"/>
      <c r="U49" s="10"/>
      <c r="V49" s="7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6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0" t="str">
        <f t="shared" si="21"/>
        <v>Eric</v>
      </c>
      <c r="S50" s="10"/>
      <c r="T50" s="10"/>
      <c r="U50" s="10"/>
      <c r="V50" s="7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6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0" t="str">
        <f t="shared" si="21"/>
        <v>Kich</v>
      </c>
      <c r="S51" s="10"/>
      <c r="T51" s="10"/>
      <c r="U51" s="10"/>
      <c r="V51" s="7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6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0" t="str">
        <f t="shared" si="21"/>
        <v>Ty</v>
      </c>
      <c r="S52" s="10"/>
      <c r="T52" s="10"/>
      <c r="U52" s="10"/>
      <c r="V52" s="7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6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0" t="str">
        <f t="shared" si="21"/>
        <v>MaKayla</v>
      </c>
      <c r="S53" s="10"/>
      <c r="T53" s="10"/>
      <c r="U53" s="10"/>
      <c r="V53" s="7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6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0" t="str">
        <f t="shared" si="21"/>
        <v>Joey</v>
      </c>
      <c r="S54" s="10"/>
      <c r="T54" s="10"/>
      <c r="U54" s="10"/>
      <c r="V54" s="7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6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0" t="str">
        <f t="shared" si="21"/>
        <v>Brent</v>
      </c>
      <c r="S55" s="10"/>
      <c r="T55" s="10"/>
      <c r="U55" s="10"/>
      <c r="V55" s="7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6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0" t="str">
        <f t="shared" si="21"/>
        <v>Ed</v>
      </c>
      <c r="S56" s="10"/>
      <c r="T56" s="10"/>
      <c r="U56" s="10"/>
      <c r="V56" s="7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6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0" t="str">
        <f t="shared" si="21"/>
        <v>Joel</v>
      </c>
      <c r="S57" s="10"/>
      <c r="T57" s="10"/>
      <c r="U57" s="10"/>
      <c r="V57" s="7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6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6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6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6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0" t="str">
        <f t="shared" si="21"/>
        <v>Collin</v>
      </c>
      <c r="S61" s="10"/>
      <c r="T61" s="10"/>
      <c r="U61" s="10"/>
      <c r="V61" s="7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6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6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0" t="str">
        <f t="shared" si="21"/>
        <v>Kich</v>
      </c>
      <c r="S63" s="10"/>
      <c r="T63" s="10" t="s">
        <v>133</v>
      </c>
      <c r="U63" s="15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6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0" t="str">
        <f t="shared" si="21"/>
        <v>Ty</v>
      </c>
      <c r="S64" s="10"/>
      <c r="T64" s="10" t="s">
        <v>132</v>
      </c>
      <c r="U64" s="15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6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0" t="str">
        <f t="shared" si="21"/>
        <v>MaKayla</v>
      </c>
      <c r="S65" s="10"/>
      <c r="T65" s="8" t="s">
        <v>131</v>
      </c>
      <c r="U65" s="15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6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0" t="str">
        <f t="shared" si="21"/>
        <v>Joey</v>
      </c>
      <c r="S66" s="10"/>
      <c r="T66" s="10" t="s">
        <v>130</v>
      </c>
      <c r="U66" s="15">
        <f t="shared" si="22"/>
        <v>117.5</v>
      </c>
      <c r="V66" s="7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6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0" t="str">
        <f t="shared" si="21"/>
        <v>Brent</v>
      </c>
      <c r="S67" s="10"/>
      <c r="T67" s="10" t="s">
        <v>129</v>
      </c>
      <c r="U67" s="15">
        <f t="shared" si="22"/>
        <v>109.5</v>
      </c>
      <c r="V67" s="7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6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0" t="str">
        <f t="shared" si="21"/>
        <v>Ed</v>
      </c>
      <c r="S68" s="10"/>
      <c r="T68" s="10" t="s">
        <v>128</v>
      </c>
      <c r="U68" s="15">
        <f t="shared" si="22"/>
        <v>99.5</v>
      </c>
      <c r="V68" s="7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0" t="str">
        <f t="shared" si="21"/>
        <v>Joel</v>
      </c>
      <c r="S69" s="10"/>
      <c r="T69" s="10" t="s">
        <v>127</v>
      </c>
      <c r="U69" s="15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6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0" t="str">
        <f t="shared" si="21"/>
        <v>Blaine</v>
      </c>
      <c r="S70" s="10"/>
      <c r="T70" s="10" t="s">
        <v>126</v>
      </c>
      <c r="U70" s="15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6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0" t="str">
        <f t="shared" si="21"/>
        <v>Jason</v>
      </c>
      <c r="S71" s="10"/>
      <c r="T71" s="10" t="s">
        <v>125</v>
      </c>
      <c r="U71" s="15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0" t="str">
        <f t="shared" si="21"/>
        <v>Roy</v>
      </c>
      <c r="S72" s="10"/>
      <c r="T72" s="10" t="s">
        <v>124</v>
      </c>
      <c r="U72" s="15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6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0" t="str">
        <f t="shared" si="21"/>
        <v>Collin</v>
      </c>
      <c r="S73" s="10"/>
      <c r="T73" s="10" t="s">
        <v>123</v>
      </c>
      <c r="U73" s="15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0" t="str">
        <f t="shared" si="21"/>
        <v>Eric</v>
      </c>
      <c r="S74" s="10"/>
      <c r="T74" s="10" t="s">
        <v>121</v>
      </c>
      <c r="U74" s="15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0" t="str">
        <f t="shared" si="21"/>
        <v>Kich</v>
      </c>
      <c r="S75" s="10"/>
      <c r="T75" s="10"/>
      <c r="U75" s="15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0" t="str">
        <f t="shared" si="21"/>
        <v>Brent</v>
      </c>
      <c r="S79" s="10"/>
      <c r="T79" s="10"/>
      <c r="U79" s="15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0" t="str">
        <f t="shared" si="21"/>
        <v>Ed</v>
      </c>
      <c r="S80" s="10"/>
      <c r="T80" s="10"/>
      <c r="U80" s="15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0" t="str">
        <f t="shared" si="21"/>
        <v>Joel</v>
      </c>
      <c r="S81" s="10"/>
      <c r="T81" s="10"/>
      <c r="U81" s="15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0" t="str">
        <f t="shared" si="21"/>
        <v>Blaine</v>
      </c>
      <c r="S82" s="10"/>
      <c r="T82" s="10"/>
      <c r="U82" s="15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0" t="str">
        <f t="shared" si="21"/>
        <v>Jason</v>
      </c>
      <c r="S83" s="10"/>
      <c r="T83" s="10"/>
      <c r="U83" s="15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0" t="str">
        <f t="shared" si="21"/>
        <v>Roy</v>
      </c>
      <c r="S84" s="10"/>
      <c r="T84" s="10"/>
      <c r="U84" s="15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0" t="str">
        <f t="shared" si="21"/>
        <v>Collin</v>
      </c>
      <c r="S85" s="10"/>
      <c r="T85" s="10"/>
      <c r="U85" s="15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0" t="str">
        <f t="shared" si="21"/>
        <v>Eric</v>
      </c>
      <c r="S86" s="10"/>
      <c r="T86" s="10"/>
      <c r="U86" s="15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0" t="str">
        <f t="shared" si="21"/>
        <v>Kich</v>
      </c>
      <c r="S87" s="10"/>
      <c r="T87" s="10"/>
      <c r="U87" s="15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0" t="str">
        <f t="shared" si="21"/>
        <v>Ty</v>
      </c>
      <c r="S88" s="10"/>
      <c r="T88" s="10"/>
      <c r="U88" s="15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0" t="str">
        <f t="shared" si="21"/>
        <v>MaKayla</v>
      </c>
      <c r="S89" s="10"/>
      <c r="T89" s="10"/>
      <c r="U89" s="15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0" t="str">
        <f t="shared" si="21"/>
        <v>Joey</v>
      </c>
      <c r="S90" s="10"/>
      <c r="T90" s="10"/>
      <c r="U90" s="15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5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2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25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30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34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32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51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54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47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55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37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39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42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50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110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6</v>
      </c>
      <c r="D1" s="3" t="s">
        <v>8</v>
      </c>
      <c r="E1" s="3" t="s">
        <v>9</v>
      </c>
      <c r="F1" s="6" t="s">
        <v>10</v>
      </c>
      <c r="G1" s="6" t="s">
        <v>11</v>
      </c>
      <c r="H1" s="6" t="s">
        <v>15</v>
      </c>
      <c r="I1" s="3" t="s">
        <v>17</v>
      </c>
      <c r="K1" s="3" t="s">
        <v>18</v>
      </c>
    </row>
    <row r="2">
      <c r="A2" s="3">
        <v>1.0</v>
      </c>
      <c r="B2" s="11" t="s">
        <v>20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1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24</v>
      </c>
      <c r="L3" s="3">
        <v>12.0</v>
      </c>
    </row>
    <row r="4">
      <c r="A4" s="3">
        <v>3.0</v>
      </c>
      <c r="B4" s="11" t="s">
        <v>25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26</v>
      </c>
      <c r="L4" s="6">
        <f>'Draft Data'!U63</f>
        <v>180</v>
      </c>
    </row>
    <row r="5">
      <c r="A5" s="3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28</v>
      </c>
      <c r="L5" s="18">
        <f>SUM($D$2:$D$500)
</f>
        <v>0</v>
      </c>
    </row>
    <row r="6">
      <c r="A6" s="3">
        <v>5.0</v>
      </c>
      <c r="B6" s="11" t="s">
        <v>30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31</v>
      </c>
      <c r="L6" s="18">
        <f>L2-L5
</f>
        <v>1200</v>
      </c>
    </row>
    <row r="7">
      <c r="A7" s="3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33</v>
      </c>
      <c r="L7" s="18">
        <f>SUMIF($E$2:$E$500,TRUE,$D$2:$D$500)</f>
        <v>0</v>
      </c>
    </row>
    <row r="8">
      <c r="A8" s="3">
        <v>7.0</v>
      </c>
      <c r="B8" s="11" t="s">
        <v>34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36</v>
      </c>
      <c r="L8" s="12">
        <f>L4-L7
</f>
        <v>180</v>
      </c>
    </row>
    <row r="9">
      <c r="A9" s="3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38</v>
      </c>
      <c r="L9" s="12">
        <f>L6-L8
</f>
        <v>1020</v>
      </c>
    </row>
    <row r="10">
      <c r="A10" s="3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40</v>
      </c>
      <c r="L10" s="12">
        <f>IF(L3&gt;1,L9/(L3-1),0)</f>
        <v>92.72727273</v>
      </c>
    </row>
    <row r="11">
      <c r="A11" s="3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43</v>
      </c>
      <c r="L11" s="19">
        <f>IF(L10&gt;0,L8/L10,1)</f>
        <v>1.941176471</v>
      </c>
    </row>
    <row r="12">
      <c r="A12" s="3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46</v>
      </c>
      <c r="L13" s="18">
        <f>SUMIF($D$2:$D$73,"",$C$2:$C$73)</f>
        <v>1200</v>
      </c>
    </row>
    <row r="14">
      <c r="A14" s="3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49</v>
      </c>
      <c r="L14" s="19">
        <f>IF(L13&gt;0,L6/L13,1)</f>
        <v>1</v>
      </c>
    </row>
    <row r="15">
      <c r="A15" s="3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52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56</v>
      </c>
      <c r="L18" s="20">
        <f>L5/L2</f>
        <v>0</v>
      </c>
    </row>
    <row r="19">
      <c r="A19" s="3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11" t="s">
        <v>110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11" t="s">
        <v>119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11" t="s">
        <v>120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