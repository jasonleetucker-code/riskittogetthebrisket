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<sst xmlns="http://schemas.openxmlformats.org/spreadsheetml/2006/main" count="312" uniqueCount="178">
  <si>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</si>
  <si>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</si>
  <si>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</si>
  <si>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</si>
  <si>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</si>
  <si>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</si>
  <si>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</si>
  <si>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</si>
  <si>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</si>
  <si>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</si>
  <si>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</si>
  <si>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</si>
  <si>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</si>
  <si>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</si>
  <si>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</si>
  <si>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</si>
  <si>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</si>
  <si>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</si>
  <si>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</si>
  <si>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</si>
  <si>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</si>
  <si>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</si>
  <si>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Round 1</t>
  </si>
  <si>
    <t>Carnell Tate</t>
  </si>
  <si>
    <t># of Teams</t>
  </si>
  <si>
    <t>Fernando Mendoza</t>
  </si>
  <si>
    <t>My Starting $</t>
  </si>
  <si>
    <t>Jordyn Tyson</t>
  </si>
  <si>
    <t>Total Spent $</t>
  </si>
  <si>
    <t>Round 2</t>
  </si>
  <si>
    <t>Makai Lemon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</si>
  <si>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</si>
  <si>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</si>
  <si>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</si>
  <si>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</si>
  <si>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</si>
  <si>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</si>
  <si>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</si>
  <si>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</si>
  <si>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</si>
  <si>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</si>
  <si>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</si>
  <si>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</si>
  <si>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</si>
  <si>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</si>
  <si>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</si>
  <si>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</si>
  <si>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</si>
  <si>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</si>
  <si>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</si>
  <si>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</si>
  <si>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</si>
  <si>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</si>
  <si>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</si>
  <si>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</si>
  <si>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</si>
  <si>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</si>
  <si>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</si>
  <si>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</si>
  <si>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</si>
  <si>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</si>
  <si>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</si>
  <si>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</si>
  <si>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</si>
  <si>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</si>
  <si>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</si>
  <si>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</si>
  <si>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</si>
  <si>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</si>
  <si>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</si>
  <si>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</si>
  <si>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</si>
  <si>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</si>
  <si>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</si>
  <si>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</si>
  <si>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</si>
  <si>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</si>
  <si>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</si>
  <si>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</si>
  <si>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</si>
  <si>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</si>
  <si>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</si>
  <si>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</si>
  <si>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</si>
  <si>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</si>
  <si>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</si>
  <si>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</si>
  <si>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</si>
  <si>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</si>
  <si>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</si>
  <si>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</si>
  <si>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</si>
  <si>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</si>
  <si>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</si>
  <si>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</si>
  <si>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</si>
  <si>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</si>
  <si>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</si>
  <si>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</si>
  <si>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</si>
  <si>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</si>
  <si>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</si>
  <si>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</si>
  <si>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</si>
  <si>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</si>
  <si>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DJ Rogers</t>
  </si>
  <si>
    <t>Lake McRee</t>
  </si>
  <si>
    <t>Ed</t>
  </si>
  <si>
    <t>Cade Klubnik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</si>
  <si>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</si>
  <si>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</si>
  <si>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</si>
  <si>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</si>
  <si>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</si>
  <si>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</si>
  <si>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</si>
  <si>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</si>
  <si>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Tyren Montgomery</t>
  </si>
  <si>
    <t>Joey</t>
  </si>
  <si>
    <t>Bryce Lance</t>
  </si>
  <si>
    <t>Kevin Coleman</t>
  </si>
  <si>
    <t>MaKayla</t>
  </si>
  <si>
    <t>Garrett Nussmeier</t>
  </si>
  <si>
    <t>Nate Boerkircher</t>
  </si>
  <si>
    <t>Ty</t>
  </si>
  <si>
    <t>Will Kacmarek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</si>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</sst>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22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96</v>
      </c>
      <c r="P29" s="6" t="s">
        <v>97</v>
      </c>
      <c r="Q29" s="8"/>
      <c r="R29" s="6" t="s">
        <v>98</v>
      </c>
      <c r="S29" s="6" t="s">
        <v>99</v>
      </c>
      <c r="T29" s="6" t="s">
        <v>100</v>
      </c>
      <c r="U29" s="8"/>
      <c r="V29" s="6" t="s">
        <v>101</v>
      </c>
      <c r="W29" s="6" t="s">
        <v>102</v>
      </c>
      <c r="X29" s="6" t="s">
        <v>103</v>
      </c>
      <c r="Y29" s="6" t="s">
        <v>104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107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114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118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121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124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101</v>
      </c>
      <c r="P44" s="6" t="s">
        <v>10</v>
      </c>
      <c r="Q44" s="6" t="s">
        <v>134</v>
      </c>
      <c r="R44" s="6" t="s">
        <v>97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124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121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118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114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107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23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25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30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34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32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48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37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39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42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51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115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122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119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109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23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1" t="s">
        <v>25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30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31</v>
      </c>
      <c r="L6" s="18">
        <f>L2-L5
</f>
        <v>1200</v>
      </c>
    </row>
    <row r="7">
      <c r="A7" s="9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36</v>
      </c>
      <c r="L8" s="12">
        <f>L4-L7
</f>
        <v>180</v>
      </c>
    </row>
    <row r="9">
      <c r="A9" s="9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38</v>
      </c>
      <c r="L9" s="12">
        <f>L6-L8
</f>
        <v>1020</v>
      </c>
    </row>
    <row r="10">
      <c r="A10" s="9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40</v>
      </c>
      <c r="L10" s="12">
        <f>IF(L3&gt;1,L9/(L3-1),0)</f>
        <v>92.72727273</v>
      </c>
    </row>
    <row r="11">
      <c r="A11" s="9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43</v>
      </c>
      <c r="L11" s="19">
        <f>IF(L10&gt;0,L8/L10,1)</f>
        <v>1.941176471</v>
      </c>
    </row>
    <row r="12">
      <c r="A12" s="9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47</v>
      </c>
      <c r="L13" s="18">
        <f>SUMIF($D$2:$D$73,"",$C$2:$C$73)</f>
        <v>1200</v>
      </c>
    </row>
    <row r="14">
      <c r="A14" s="9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106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115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117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119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120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123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