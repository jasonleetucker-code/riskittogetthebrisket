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<sst xmlns="http://schemas.openxmlformats.org/spreadsheetml/2006/main" count="312" uniqueCount="178">
  <si>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</si>
  <si>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</si>
  <si>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</si>
  <si>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</si>
  <si>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</si>
  <si>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</si>
  <si>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VALUE</t>
  </si>
  <si>
    <t>Inflated Fair Price</t>
  </si>
  <si>
    <t>My Max Bid</t>
  </si>
  <si>
    <t>EnforceUpTo</t>
  </si>
  <si>
    <t>Decay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</si>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</sst>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4" t="s">
        <v>6</v>
      </c>
      <c r="C1" s="5" t="s">
        <v>10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10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10" t="s">
        <v>38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10"/>
      <c r="AD3" s="10"/>
    </row>
    <row r="4">
      <c r="A4" s="13">
        <v>1.03</v>
      </c>
      <c r="B4" s="3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10" t="s">
        <v>44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10"/>
      <c r="AD4" s="10"/>
    </row>
    <row r="5">
      <c r="A5" s="13">
        <v>1.04</v>
      </c>
      <c r="B5" s="3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10" t="s">
        <v>50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10"/>
      <c r="AD5" s="10"/>
    </row>
    <row r="6">
      <c r="A6" s="13">
        <v>1.05</v>
      </c>
      <c r="B6" s="3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10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10"/>
      <c r="AD6" s="10"/>
    </row>
    <row r="7">
      <c r="A7" s="13">
        <v>1.06</v>
      </c>
      <c r="B7" s="3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10" t="s">
        <v>58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10"/>
      <c r="AD7" s="10"/>
    </row>
    <row r="8">
      <c r="A8" s="13">
        <v>1.07</v>
      </c>
      <c r="B8" s="3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10"/>
      <c r="AD8" s="10"/>
    </row>
    <row r="9">
      <c r="A9" s="13">
        <v>1.08</v>
      </c>
      <c r="B9" s="3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10" t="s">
        <v>131</v>
      </c>
      <c r="U65" s="15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5">
        <f>Sum(D2:D73)</f>
        <v>1200</v>
      </c>
      <c r="E74" s="5"/>
      <c r="F74" s="15">
        <v>1200.0</v>
      </c>
      <c r="G74" s="15">
        <v>1200.0</v>
      </c>
      <c r="H74" s="15">
        <v>1200.0</v>
      </c>
      <c r="I74" s="5"/>
      <c r="J74" s="5"/>
      <c r="K74" s="5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27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53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46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54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40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7</v>
      </c>
      <c r="G1" s="3" t="s">
        <v>8</v>
      </c>
      <c r="H1" s="3" t="s">
        <v>9</v>
      </c>
      <c r="I1" s="1" t="s">
        <v>11</v>
      </c>
      <c r="K1" s="1" t="s">
        <v>12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6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27</v>
      </c>
      <c r="C5" s="8">
        <v>82.5</v>
      </c>
      <c r="E5" s="18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6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6" t="s">
        <v>29</v>
      </c>
      <c r="C6" s="8">
        <v>76.0</v>
      </c>
      <c r="E6" s="18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6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6" t="s">
        <v>31</v>
      </c>
      <c r="C7" s="8">
        <v>66.5</v>
      </c>
      <c r="E7" s="18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6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8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6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6" t="s">
        <v>35</v>
      </c>
      <c r="C9" s="8">
        <v>53.0</v>
      </c>
      <c r="E9" s="18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6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8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6" t="str">
        <f t="shared" si="4"/>
        <v/>
      </c>
      <c r="K10" s="1" t="s">
        <v>39</v>
      </c>
      <c r="L10" s="8">
        <f>IF(L3&gt;1,L9/(L3-1),0)</f>
        <v>92.72727273</v>
      </c>
    </row>
    <row r="11">
      <c r="A11" s="1">
        <v>10.0</v>
      </c>
      <c r="B11" s="6" t="s">
        <v>40</v>
      </c>
      <c r="C11" s="8">
        <v>43.0</v>
      </c>
      <c r="E11" s="18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6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6" t="s">
        <v>42</v>
      </c>
      <c r="C12" s="8">
        <v>39.0</v>
      </c>
      <c r="E12" s="18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1">
        <v>12.0</v>
      </c>
      <c r="B13" s="6" t="s">
        <v>43</v>
      </c>
      <c r="C13" s="8">
        <v>34.0</v>
      </c>
      <c r="E13" s="18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6" t="str">
        <f t="shared" si="4"/>
        <v/>
      </c>
      <c r="K13" s="1" t="s">
        <v>45</v>
      </c>
      <c r="L13" s="18">
        <f>SUMIF($D$2:$D$73,"",$C$2:$C$73)</f>
        <v>1200</v>
      </c>
    </row>
    <row r="14">
      <c r="A14" s="1">
        <v>13.0</v>
      </c>
      <c r="B14" s="6" t="s">
        <v>46</v>
      </c>
      <c r="C14" s="8">
        <v>30.5</v>
      </c>
      <c r="E14" s="18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6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48</v>
      </c>
      <c r="C15" s="8">
        <v>27.5</v>
      </c>
      <c r="E15" s="18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1">
        <v>15.0</v>
      </c>
      <c r="B16" s="6" t="s">
        <v>49</v>
      </c>
      <c r="C16" s="8">
        <v>25.5</v>
      </c>
      <c r="E16" s="18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6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53</v>
      </c>
      <c r="C17" s="8">
        <v>22.5</v>
      </c>
      <c r="E17" s="18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1">
        <v>17.0</v>
      </c>
      <c r="B18" s="6" t="s">
        <v>54</v>
      </c>
      <c r="C18" s="8">
        <v>20.0</v>
      </c>
      <c r="E18" s="18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6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6" t="s">
        <v>56</v>
      </c>
      <c r="C19" s="8">
        <v>18.5</v>
      </c>
      <c r="E19" s="18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1">
        <v>19.0</v>
      </c>
      <c r="B20" s="6" t="s">
        <v>57</v>
      </c>
      <c r="C20" s="8">
        <v>16.5</v>
      </c>
      <c r="E20" s="18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1">
        <v>20.0</v>
      </c>
      <c r="B21" s="6" t="s">
        <v>59</v>
      </c>
      <c r="C21" s="8">
        <v>14.5</v>
      </c>
      <c r="E21" s="18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1">
        <v>21.0</v>
      </c>
      <c r="B22" s="6" t="s">
        <v>60</v>
      </c>
      <c r="C22" s="8">
        <v>13.5</v>
      </c>
      <c r="E22" s="18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1">
        <v>22.0</v>
      </c>
      <c r="B23" s="6" t="s">
        <v>61</v>
      </c>
      <c r="C23" s="8">
        <v>12.0</v>
      </c>
      <c r="E23" s="18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1">
        <v>23.0</v>
      </c>
      <c r="B24" s="6" t="s">
        <v>62</v>
      </c>
      <c r="C24" s="8">
        <v>11.0</v>
      </c>
      <c r="E24" s="18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1">
        <v>24.0</v>
      </c>
      <c r="B25" s="6" t="s">
        <v>63</v>
      </c>
      <c r="C25" s="8">
        <v>10.0</v>
      </c>
      <c r="E25" s="18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8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8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6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8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8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8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8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8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8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8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8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8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8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8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8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8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8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8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8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8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8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8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8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8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8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8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8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8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8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8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8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8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8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8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8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8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8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8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8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8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8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8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8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8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8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8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8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8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8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