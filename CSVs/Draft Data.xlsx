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<sst xmlns="http://schemas.openxmlformats.org/spreadsheetml/2006/main" count="312" uniqueCount="178">
  <si>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</si>
  <si>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</si>
  <si>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</si>
  <si>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</si>
  <si>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</si>
  <si>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</si>
  <si>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</si>
  <si>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</si>
  <si>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Floors</t>
  </si>
  <si>
    <t>Final Price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</si>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</sst>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8</v>
      </c>
      <c r="J1" s="7" t="s">
        <v>11</v>
      </c>
      <c r="K1" s="7" t="s">
        <v>13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7</v>
      </c>
      <c r="D1" s="5" t="s">
        <v>9</v>
      </c>
      <c r="E1" s="5" t="s">
        <v>10</v>
      </c>
      <c r="F1" s="8" t="s">
        <v>12</v>
      </c>
      <c r="G1" s="8" t="s">
        <v>15</v>
      </c>
      <c r="H1" s="8" t="s">
        <v>16</v>
      </c>
      <c r="I1" s="5" t="s">
        <v>17</v>
      </c>
      <c r="K1" s="5" t="s">
        <v>18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5" t="s">
        <v>25</v>
      </c>
      <c r="L4" s="8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5" t="s">
        <v>27</v>
      </c>
      <c r="L5" s="17">
        <f>SUM($D$2:$D$500)
</f>
        <v>0</v>
      </c>
    </row>
    <row r="6">
      <c r="A6" s="5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5" t="s">
        <v>29</v>
      </c>
      <c r="L6" s="17">
        <f>L2-L5
</f>
        <v>1200</v>
      </c>
    </row>
    <row r="7">
      <c r="A7" s="5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5" t="s">
        <v>31</v>
      </c>
      <c r="L7" s="17">
        <f>SUMIF($E$2:$E$500,TRUE,$D$2:$D$500)</f>
        <v>0</v>
      </c>
    </row>
    <row r="8">
      <c r="A8" s="5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5" t="s">
        <v>33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5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5" t="s">
        <v>43</v>
      </c>
      <c r="L13" s="17">
        <f>SUMIF($D$2:$D$73,"",$C$2:$C$73)</f>
        <v>1200</v>
      </c>
    </row>
    <row r="14">
      <c r="A14" s="5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5" t="s">
        <v>46</v>
      </c>
      <c r="L14" s="19">
        <f>IF(L13&gt;0,L6/L13,1)</f>
        <v>1</v>
      </c>
    </row>
    <row r="15">
      <c r="A15" s="5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5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5" t="s">
        <v>49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5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5" t="s">
        <v>53</v>
      </c>
      <c r="L18" s="20">
        <f>L5/L2</f>
        <v>0</v>
      </c>
    </row>
    <row r="19">
      <c r="A19" s="5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5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5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5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5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5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5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5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5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