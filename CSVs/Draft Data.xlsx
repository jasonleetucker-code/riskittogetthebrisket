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<sst xmlns="http://schemas.openxmlformats.org/spreadsheetml/2006/main" count="312" uniqueCount="178">
  <si>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</si>
  <si>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</si>
  <si>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</si>
  <si>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</si>
  <si>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</si>
  <si>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VALUE</t>
  </si>
  <si>
    <t>Mine?</t>
  </si>
  <si>
    <t>Inflated Fair Price</t>
  </si>
  <si>
    <t>Decay</t>
  </si>
  <si>
    <t>My Max Bid</t>
  </si>
  <si>
    <t>EnforceUpTo</t>
  </si>
  <si>
    <t>New Values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</si>
  <si>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</si>
  <si>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</si>
  <si>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</si>
  <si>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</si>
  <si>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</si>
  <si>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</si>
  <si>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</si>
  <si>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</si>
  <si>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</si>
  <si>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</si>
  <si>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</si>
  <si>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</si>
  <si>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</si>
  <si>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</si>
  <si>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</si>
  <si>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</si>
  <si>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</si>
  <si>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</si>
  <si>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</si>
  <si>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</si>
  <si>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</si>
  <si>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</si>
  <si>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</si>
  <si>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</si>
  <si>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</si>
  <si>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</si>
  <si>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Round 1</t>
  </si>
  <si>
    <t>Eli Stowers</t>
  </si>
  <si>
    <t>Budget Advantage Factor</t>
  </si>
  <si>
    <t>Omar Cooper</t>
  </si>
  <si>
    <t>CJ Allen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</si>
  <si>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</si>
  <si>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</si>
  <si>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</si>
  <si>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</si>
  <si>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</si>
  <si>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</si>
  <si>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</si>
  <si>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2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</si>
  <si>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</si>
  <si>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</si>
  <si>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</si>
  <si>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</si>
  <si>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</si>
  <si>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</si>
  <si>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</si>
  <si>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</si>
  <si>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</si>
  <si>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</si>
  <si>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</si>
  <si>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Round 3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</si>
  <si>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</si>
  <si>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</si>
  <si>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</si>
  <si>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</si>
  <si>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</si>
  <si>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</si>
  <si>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</si>
  <si>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</si>
  <si>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Round 4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</si>
  <si>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</si>
  <si>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</si>
  <si>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</si>
  <si>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</si>
  <si>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</si>
  <si>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</si>
  <si>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</si>
  <si>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Round 5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</si>
  <si>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</si>
  <si>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</si>
  <si>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</si>
  <si>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</si>
  <si>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</si>
  <si>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</si>
  <si>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Round 6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</si>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</sst>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5</v>
      </c>
      <c r="C1" s="4" t="s">
        <v>8</v>
      </c>
      <c r="D1" s="4" t="s">
        <v>11</v>
      </c>
      <c r="E1" s="4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38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50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62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71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79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86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113</v>
      </c>
      <c r="P29" s="10" t="s">
        <v>114</v>
      </c>
      <c r="Q29" s="12"/>
      <c r="R29" s="10" t="s">
        <v>115</v>
      </c>
      <c r="S29" s="10" t="s">
        <v>116</v>
      </c>
      <c r="T29" s="10" t="s">
        <v>117</v>
      </c>
      <c r="U29" s="12"/>
      <c r="V29" s="10" t="s">
        <v>118</v>
      </c>
      <c r="W29" s="10" t="s">
        <v>119</v>
      </c>
      <c r="X29" s="10" t="s">
        <v>120</v>
      </c>
      <c r="Y29" s="10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118</v>
      </c>
      <c r="P44" s="10" t="s">
        <v>20</v>
      </c>
      <c r="Q44" s="10" t="s">
        <v>134</v>
      </c>
      <c r="R44" s="10" t="s">
        <v>114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32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30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47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49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44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51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34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53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54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56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82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36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46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65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66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60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55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58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69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72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80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59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68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75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64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73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77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85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74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84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6</v>
      </c>
      <c r="F1" s="5" t="s">
        <v>7</v>
      </c>
      <c r="G1" s="5" t="s">
        <v>9</v>
      </c>
      <c r="H1" s="5" t="s">
        <v>10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29</v>
      </c>
      <c r="L6" s="17">
        <f>L2-L5
</f>
        <v>1200</v>
      </c>
    </row>
    <row r="7">
      <c r="A7" s="1">
        <v>6.0</v>
      </c>
      <c r="B7" s="7" t="s">
        <v>30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31</v>
      </c>
      <c r="L7" s="17">
        <f>SUMIF($E$2:$E$500,TRUE,$D$2:$D$500)</f>
        <v>0</v>
      </c>
    </row>
    <row r="8">
      <c r="A8" s="1">
        <v>7.0</v>
      </c>
      <c r="B8" s="7" t="s">
        <v>32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33</v>
      </c>
      <c r="L8" s="9">
        <f>L4-L7
</f>
        <v>180</v>
      </c>
    </row>
    <row r="9">
      <c r="A9" s="1">
        <v>8.0</v>
      </c>
      <c r="B9" s="7" t="s">
        <v>34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35</v>
      </c>
      <c r="L9" s="9">
        <f>L6-L8
</f>
        <v>1020</v>
      </c>
    </row>
    <row r="10">
      <c r="A10" s="1">
        <v>9.0</v>
      </c>
      <c r="B10" s="7" t="s">
        <v>36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37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40</v>
      </c>
      <c r="L11" s="19">
        <f>IF(L10&gt;0,L8/L10,1)</f>
        <v>1.941176471</v>
      </c>
    </row>
    <row r="12">
      <c r="A12" s="1">
        <v>11.0</v>
      </c>
      <c r="B12" s="7" t="s">
        <v>41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42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43</v>
      </c>
      <c r="L13" s="17">
        <f>SUMIF($D$2:$D$73,"",$C$2:$C$73)</f>
        <v>1200</v>
      </c>
    </row>
    <row r="14">
      <c r="A14" s="1">
        <v>13.0</v>
      </c>
      <c r="B14" s="7" t="s">
        <v>44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45</v>
      </c>
      <c r="L14" s="19">
        <f>IF(L13&gt;0,L6/L13,1)</f>
        <v>1</v>
      </c>
    </row>
    <row r="15">
      <c r="A15" s="1">
        <v>14.0</v>
      </c>
      <c r="B15" s="7" t="s">
        <v>46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47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48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49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51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52</v>
      </c>
      <c r="L18" s="20">
        <f>L5/L2</f>
        <v>0</v>
      </c>
    </row>
    <row r="19">
      <c r="A19" s="1">
        <v>18.0</v>
      </c>
      <c r="B19" s="7" t="s">
        <v>53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54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55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56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57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58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59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60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61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63</v>
      </c>
      <c r="L27" s="1">
        <v>0.8</v>
      </c>
    </row>
    <row r="28">
      <c r="A28" s="1">
        <v>27.0</v>
      </c>
      <c r="B28" s="7" t="s">
        <v>64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65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66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67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68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69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70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72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73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74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75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76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77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78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80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81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82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83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84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85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112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