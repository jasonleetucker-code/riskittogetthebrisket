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<sst xmlns="http://schemas.openxmlformats.org/spreadsheetml/2006/main" count="312" uniqueCount="178">
  <si>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</si>
  <si>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</si>
  <si>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</si>
  <si>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</si>
  <si>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</si>
  <si>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</si>
  <si>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</si>
  <si>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Spine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</si>
  <si>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</si>
  <si>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</si>
  <si>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</si>
  <si>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</si>
  <si>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</si>
  <si>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</si>
  <si>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</si>
  <si>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</si>
  <si>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</si>
  <si>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</si>
  <si>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</si>
  <si>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Pick</t>
  </si>
  <si>
    <t>Jeremiyah Love</t>
  </si>
  <si>
    <t>Total Auction $</t>
  </si>
  <si>
    <t>Round 1</t>
  </si>
  <si>
    <t>Carnell Tate</t>
  </si>
  <si>
    <t># of Teams</t>
  </si>
  <si>
    <t>Fernando Mendoza</t>
  </si>
  <si>
    <t>Round 2</t>
  </si>
  <si>
    <t>My Starting $</t>
  </si>
  <si>
    <t>Jordyn Tyson</t>
  </si>
  <si>
    <t>Total Spent $</t>
  </si>
  <si>
    <t>Round 3</t>
  </si>
  <si>
    <t>Makai Lemon</t>
  </si>
  <si>
    <t>Remaining Leage $</t>
  </si>
  <si>
    <t>Kenyon Sadiq</t>
  </si>
  <si>
    <t>My Spent</t>
  </si>
  <si>
    <t>Round 4</t>
  </si>
  <si>
    <t>Sonny Styles</t>
  </si>
  <si>
    <t>My Remaining</t>
  </si>
  <si>
    <t>KC Concepcion</t>
  </si>
  <si>
    <t>Other Teams Remaining</t>
  </si>
  <si>
    <t>Round 5</t>
  </si>
  <si>
    <t>Jadarian Price</t>
  </si>
  <si>
    <t>Avg $ per Other Team</t>
  </si>
  <si>
    <t>Eli Stowers</t>
  </si>
  <si>
    <t>Budget Advantage Factor</t>
  </si>
  <si>
    <t>Omar Cooper</t>
  </si>
  <si>
    <t>Round 6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</si>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</sst>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22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26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30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35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46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103</v>
      </c>
      <c r="P29" s="8" t="s">
        <v>104</v>
      </c>
      <c r="Q29" s="10"/>
      <c r="R29" s="8" t="s">
        <v>105</v>
      </c>
      <c r="S29" s="8" t="s">
        <v>106</v>
      </c>
      <c r="T29" s="8" t="s">
        <v>107</v>
      </c>
      <c r="U29" s="10"/>
      <c r="V29" s="8" t="s">
        <v>108</v>
      </c>
      <c r="W29" s="8" t="s">
        <v>109</v>
      </c>
      <c r="X29" s="8" t="s">
        <v>110</v>
      </c>
      <c r="Y29" s="8" t="s">
        <v>111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114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120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123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108</v>
      </c>
      <c r="P44" s="8" t="s">
        <v>19</v>
      </c>
      <c r="Q44" s="8" t="s">
        <v>134</v>
      </c>
      <c r="R44" s="8" t="s">
        <v>104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123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120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114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23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31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28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36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33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49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38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41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43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51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113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8</v>
      </c>
      <c r="E1" s="2" t="s">
        <v>9</v>
      </c>
      <c r="F1" s="6" t="s">
        <v>10</v>
      </c>
      <c r="G1" s="6" t="s">
        <v>12</v>
      </c>
      <c r="H1" s="6" t="s">
        <v>14</v>
      </c>
      <c r="I1" s="2" t="s">
        <v>16</v>
      </c>
      <c r="K1" s="2" t="s">
        <v>18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23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1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27</v>
      </c>
      <c r="L4" s="6">
        <f>'Draft Data'!U63</f>
        <v>180</v>
      </c>
    </row>
    <row r="5">
      <c r="A5" s="2">
        <v>4.0</v>
      </c>
      <c r="B5" s="11" t="s">
        <v>28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29</v>
      </c>
      <c r="L5" s="18">
        <f>SUM($D$2:$D$500)
</f>
        <v>0</v>
      </c>
    </row>
    <row r="6">
      <c r="A6" s="2">
        <v>5.0</v>
      </c>
      <c r="B6" s="11" t="s">
        <v>31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32</v>
      </c>
      <c r="L6" s="18">
        <f>L2-L5
</f>
        <v>1200</v>
      </c>
    </row>
    <row r="7">
      <c r="A7" s="2">
        <v>6.0</v>
      </c>
      <c r="B7" s="11" t="s">
        <v>33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34</v>
      </c>
      <c r="L7" s="18">
        <f>SUMIF($E$2:$E$500,TRUE,$D$2:$D$500)</f>
        <v>0</v>
      </c>
    </row>
    <row r="8">
      <c r="A8" s="2">
        <v>7.0</v>
      </c>
      <c r="B8" s="11" t="s">
        <v>36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37</v>
      </c>
      <c r="L8" s="12">
        <f>L4-L7
</f>
        <v>180</v>
      </c>
    </row>
    <row r="9">
      <c r="A9" s="2">
        <v>8.0</v>
      </c>
      <c r="B9" s="11" t="s">
        <v>38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39</v>
      </c>
      <c r="L9" s="12">
        <f>L6-L8
</f>
        <v>1020</v>
      </c>
    </row>
    <row r="10">
      <c r="A10" s="2">
        <v>9.0</v>
      </c>
      <c r="B10" s="11" t="s">
        <v>41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42</v>
      </c>
      <c r="L10" s="12">
        <f>IF(L3&gt;1,L9/(L3-1),0)</f>
        <v>92.72727273</v>
      </c>
    </row>
    <row r="11">
      <c r="A11" s="2">
        <v>10.0</v>
      </c>
      <c r="B11" s="11" t="s">
        <v>43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44</v>
      </c>
      <c r="L11" s="19">
        <f>IF(L10&gt;0,L8/L10,1)</f>
        <v>1.941176471</v>
      </c>
    </row>
    <row r="12">
      <c r="A12" s="2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48</v>
      </c>
      <c r="L13" s="18">
        <f>SUMIF($D$2:$D$73,"",$C$2:$C$73)</f>
        <v>1200</v>
      </c>
    </row>
    <row r="14">
      <c r="A14" s="2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112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113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115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117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121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122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