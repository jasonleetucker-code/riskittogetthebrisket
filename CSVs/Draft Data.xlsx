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<sst xmlns="http://schemas.openxmlformats.org/spreadsheetml/2006/main" count="312" uniqueCount="178">
  <si>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</si>
  <si>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</si>
  <si>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</si>
  <si>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</si>
  <si>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</si>
  <si>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</si>
  <si>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</si>
  <si>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</si>
  <si>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Mine?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</si>
  <si>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</si>
  <si>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</si>
  <si>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</si>
  <si>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</si>
  <si>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</si>
  <si>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</si>
  <si>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</si>
  <si>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</si>
  <si>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</si>
  <si>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Final Dollar Per Pick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</si>
  <si>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</si>
  <si>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</si>
  <si>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</si>
  <si>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</si>
  <si>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</si>
  <si>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</si>
  <si>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</si>
  <si>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</si>
  <si>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</si>
  <si>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</si>
  <si>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</si>
  <si>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</si>
  <si>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</si>
  <si>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</si>
  <si>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</si>
  <si>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</si>
  <si>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</si>
  <si>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</si>
  <si>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</si>
  <si>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</si>
  <si>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</si>
  <si>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</si>
  <si>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</si>
  <si>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</si>
  <si>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</si>
  <si>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</si>
  <si>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</si>
  <si>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</si>
  <si>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</si>
  <si>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</si>
  <si>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</si>
  <si>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</si>
  <si>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</si>
  <si>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</si>
  <si>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</si>
  <si>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</si>
  <si>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</si>
  <si>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</si>
  <si>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</si>
  <si>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</si>
  <si>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</si>
  <si>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</si>
  <si>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</si>
  <si>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</si>
  <si>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</si>
  <si>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</si>
  <si>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</si>
  <si>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</si>
  <si>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</si>
  <si>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</si>
  <si>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</si>
  <si>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</si>
  <si>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</si>
  <si>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</si>
  <si>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</si>
  <si>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</si>
  <si>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</si>
  <si>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</si>
  <si>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</si>
  <si>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</si>
  <si>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</si>
  <si>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</si>
  <si>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</si>
  <si>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</si>
  <si>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</si>
  <si>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</si>
  <si>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</si>
  <si>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</si>
  <si>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</si>
  <si>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</si>
  <si>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</si>
  <si>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Standings</t>
  </si>
  <si>
    <t>Owner</t>
  </si>
  <si>
    <t>T.J. Parker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</si>
  <si>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</si>
  <si>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</si>
  <si>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</si>
  <si>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</si>
  <si>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</si>
  <si>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</si>
  <si>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</si>
  <si>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Cashius Howell</t>
  </si>
  <si>
    <t>Ed</t>
  </si>
  <si>
    <t>Keldric Faulk</t>
  </si>
  <si>
    <t>Akheem Mesidor</t>
  </si>
  <si>
    <t>Justin Joly</t>
  </si>
  <si>
    <t>Brent</t>
  </si>
  <si>
    <t>Eli Raridon</t>
  </si>
  <si>
    <t>DJ Rogers</t>
  </si>
  <si>
    <t>Joey</t>
  </si>
  <si>
    <t>Lake McRee</t>
  </si>
  <si>
    <t>MaKayla</t>
  </si>
  <si>
    <t>Cade Klubnik</t>
  </si>
  <si>
    <t>Drew Allar</t>
  </si>
  <si>
    <t>Carson Beck</t>
  </si>
  <si>
    <t>Ty</t>
  </si>
  <si>
    <t>Joe Royer</t>
  </si>
  <si>
    <t>Sam Roush</t>
  </si>
  <si>
    <t>Kich</t>
  </si>
  <si>
    <t>Tanner Koziol</t>
  </si>
  <si>
    <t>Eric</t>
  </si>
  <si>
    <t>Jack Endries</t>
  </si>
  <si>
    <t>Matthew Hibner</t>
  </si>
  <si>
    <t>Collin</t>
  </si>
  <si>
    <t>Tyren Montgomery</t>
  </si>
  <si>
    <t>Bryce Lance</t>
  </si>
  <si>
    <t>Roy</t>
  </si>
  <si>
    <t>Kevin Coleman</t>
  </si>
  <si>
    <t>Garrett Nussmeier</t>
  </si>
  <si>
    <t>Jason</t>
  </si>
  <si>
    <t>Nate Boerkircher</t>
  </si>
  <si>
    <t>Will Kacmarek</t>
  </si>
  <si>
    <t>Blaine</t>
  </si>
  <si>
    <t>Noah Whittington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</si>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</sst>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9" t="s">
        <v>18</v>
      </c>
      <c r="M1" s="6">
        <v>12.0</v>
      </c>
      <c r="N1" s="10"/>
      <c r="O1" s="8" t="s">
        <v>19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90</v>
      </c>
      <c r="P29" s="8" t="s">
        <v>91</v>
      </c>
      <c r="Q29" s="10"/>
      <c r="R29" s="8" t="s">
        <v>93</v>
      </c>
      <c r="S29" s="8" t="s">
        <v>94</v>
      </c>
      <c r="T29" s="8" t="s">
        <v>95</v>
      </c>
      <c r="U29" s="10"/>
      <c r="V29" s="8" t="s">
        <v>96</v>
      </c>
      <c r="W29" s="8" t="s">
        <v>97</v>
      </c>
      <c r="X29" s="8" t="s">
        <v>98</v>
      </c>
      <c r="Y29" s="8" t="s">
        <v>99</v>
      </c>
      <c r="Z29" s="10"/>
      <c r="AA29" s="10"/>
      <c r="AB29" s="10"/>
      <c r="AC29" s="10"/>
      <c r="AD29" s="10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6">
        <v>1.0</v>
      </c>
      <c r="P30" s="8" t="s">
        <v>101</v>
      </c>
      <c r="Q30" s="10"/>
      <c r="R30" s="6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6">
        <v>2.0</v>
      </c>
      <c r="P31" s="8" t="s">
        <v>105</v>
      </c>
      <c r="Q31" s="10"/>
      <c r="R31" s="6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6">
        <v>3.0</v>
      </c>
      <c r="P32" s="8" t="s">
        <v>108</v>
      </c>
      <c r="Q32" s="10"/>
      <c r="R32" s="6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6">
        <v>4.0</v>
      </c>
      <c r="P33" s="8" t="s">
        <v>110</v>
      </c>
      <c r="Q33" s="10"/>
      <c r="R33" s="6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6">
        <v>5.0</v>
      </c>
      <c r="P34" s="8" t="s">
        <v>114</v>
      </c>
      <c r="Q34" s="10"/>
      <c r="R34" s="6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6">
        <v>6.0</v>
      </c>
      <c r="P35" s="8" t="s">
        <v>117</v>
      </c>
      <c r="Q35" s="10"/>
      <c r="R35" s="6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6">
        <v>7.0</v>
      </c>
      <c r="P36" s="8" t="s">
        <v>119</v>
      </c>
      <c r="Q36" s="10"/>
      <c r="R36" s="6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6">
        <v>8.0</v>
      </c>
      <c r="P37" s="8" t="s">
        <v>122</v>
      </c>
      <c r="Q37" s="10"/>
      <c r="R37" s="6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6">
        <v>9.0</v>
      </c>
      <c r="P38" s="8" t="s">
        <v>125</v>
      </c>
      <c r="Q38" s="10"/>
      <c r="R38" s="6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6">
        <v>10.0</v>
      </c>
      <c r="P39" s="8" t="s">
        <v>128</v>
      </c>
      <c r="Q39" s="10"/>
      <c r="R39" s="6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6">
        <v>11.0</v>
      </c>
      <c r="P40" s="8" t="s">
        <v>131</v>
      </c>
      <c r="Q40" s="10"/>
      <c r="R40" s="6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6">
        <v>12.0</v>
      </c>
      <c r="P41" s="8" t="s">
        <v>133</v>
      </c>
      <c r="Q41" s="10"/>
      <c r="R41" s="6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96</v>
      </c>
      <c r="P44" s="8" t="s">
        <v>19</v>
      </c>
      <c r="Q44" s="8" t="s">
        <v>134</v>
      </c>
      <c r="R44" s="8" t="s">
        <v>91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131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128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125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122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119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117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114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110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108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105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101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92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115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120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127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124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113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106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104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112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111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8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15</v>
      </c>
    </row>
    <row r="2">
      <c r="A2" s="3">
        <v>1.0</v>
      </c>
      <c r="B2" s="11" t="s">
        <v>20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1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1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28</v>
      </c>
      <c r="L5" s="18">
        <f>SUM($D$2:$D$500)
</f>
        <v>0</v>
      </c>
    </row>
    <row r="6">
      <c r="A6" s="3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8">
        <f>L2-L5
</f>
        <v>1200</v>
      </c>
    </row>
    <row r="7">
      <c r="A7" s="3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8">
        <f>SUMIF($E$2:$E$500,TRUE,$D$2:$D$500)</f>
        <v>0</v>
      </c>
    </row>
    <row r="8">
      <c r="A8" s="3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37</v>
      </c>
      <c r="L9" s="12">
        <f>L6-L8
</f>
        <v>1020</v>
      </c>
    </row>
    <row r="10">
      <c r="A10" s="3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39</v>
      </c>
      <c r="L10" s="12">
        <f>IF(L3&gt;1,L9/(L3-1),0)</f>
        <v>92.72727273</v>
      </c>
    </row>
    <row r="11">
      <c r="A11" s="3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42</v>
      </c>
      <c r="L11" s="19">
        <f>IF(L10&gt;0,L8/L10,1)</f>
        <v>1.941176471</v>
      </c>
    </row>
    <row r="12">
      <c r="A12" s="3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46</v>
      </c>
      <c r="L13" s="18">
        <f>SUMIF($D$2:$D$73,"",$C$2:$C$73)</f>
        <v>1200</v>
      </c>
    </row>
    <row r="14">
      <c r="A14" s="3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48</v>
      </c>
      <c r="L14" s="19">
        <f>IF(L13&gt;0,L6/L13,1)</f>
        <v>1</v>
      </c>
    </row>
    <row r="15">
      <c r="A15" s="3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52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11" t="s">
        <v>92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11" t="s">
        <v>100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11" t="s">
        <v>102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11" t="s">
        <v>103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11" t="s">
        <v>106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11" t="s">
        <v>107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11" t="s">
        <v>109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11" t="s">
        <v>111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11" t="s">
        <v>112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11" t="s">
        <v>113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11" t="s">
        <v>115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11" t="s">
        <v>116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11" t="s">
        <v>118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11" t="s">
        <v>120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11" t="s">
        <v>121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11" t="s">
        <v>123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11" t="s">
        <v>124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11" t="s">
        <v>126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11" t="s">
        <v>127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11" t="s">
        <v>129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11" t="s">
        <v>130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132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