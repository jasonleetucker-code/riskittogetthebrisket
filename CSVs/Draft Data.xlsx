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<sst xmlns="http://schemas.openxmlformats.org/spreadsheetml/2006/main" count="312" uniqueCount="178">
  <si>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</si>
  <si>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</si>
  <si>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</si>
  <si>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</si>
  <si>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</si>
  <si>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</si>
  <si>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Floors</t>
  </si>
  <si>
    <t>Fractions</t>
  </si>
  <si>
    <t>Monotone Rounded</t>
  </si>
  <si>
    <t>Final Dollar Per Pick</t>
  </si>
  <si>
    <t>PLAYER NAME</t>
  </si>
  <si>
    <t>PreDraft$</t>
  </si>
  <si>
    <t>Final Price</t>
  </si>
  <si>
    <t>Mine?</t>
  </si>
  <si>
    <t>Pick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</si>
  <si>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</si>
  <si>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</si>
  <si>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</si>
  <si>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</si>
  <si>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</si>
  <si>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</si>
  <si>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</si>
  <si>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</si>
  <si>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</si>
  <si>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</si>
  <si>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</si>
  <si>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</si>
  <si>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</si>
  <si>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</si>
  <si>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</si>
  <si>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</si>
  <si>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</si>
  <si>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</si>
  <si>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</si>
  <si>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2</t>
  </si>
  <si>
    <t>My Remaining</t>
  </si>
  <si>
    <t>KC Concepcion</t>
  </si>
  <si>
    <t>Other Teams Remaining</t>
  </si>
  <si>
    <t>Jadarian Price</t>
  </si>
  <si>
    <t>Round 3</t>
  </si>
  <si>
    <t>Avg $ per Other Team</t>
  </si>
  <si>
    <t>Eli Stowers</t>
  </si>
  <si>
    <t>Round 4</t>
  </si>
  <si>
    <t>Budget Advantage Factor</t>
  </si>
  <si>
    <t>Omar Cooper</t>
  </si>
  <si>
    <t>CJ Allen</t>
  </si>
  <si>
    <t>Round 5</t>
  </si>
  <si>
    <t>Undrafted Predraft$</t>
  </si>
  <si>
    <t>Arvell Reese</t>
  </si>
  <si>
    <t>Inflation Factor</t>
  </si>
  <si>
    <t>Round 6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</si>
  <si>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</si>
  <si>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</si>
  <si>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</si>
  <si>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</si>
  <si>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</si>
  <si>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</si>
  <si>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</si>
  <si>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</si>
  <si>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</si>
  <si>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</si>
  <si>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</si>
  <si>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</si>
  <si>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</si>
  <si>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</si>
  <si>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</si>
  <si>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</si>
  <si>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</si>
  <si>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</si>
  <si>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</si>
  <si>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</si>
  <si>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</si>
  <si>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</si>
  <si>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</si>
  <si>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</si>
  <si>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</si>
  <si>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</si>
  <si>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</si>
  <si>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</si>
  <si>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</si>
  <si>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</si>
  <si>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</si>
  <si>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</si>
  <si>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</si>
  <si>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</si>
  <si>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</si>
  <si>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</si>
  <si>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</si>
  <si>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</si>
  <si>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</si>
  <si>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</si>
  <si>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</si>
  <si>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Emmanuel McNeil-Warren</t>
  </si>
  <si>
    <t>R Mason Thomas</t>
  </si>
  <si>
    <t>Oscar Delp</t>
  </si>
  <si>
    <t>Michael Trigg</t>
  </si>
  <si>
    <t>Ed</t>
  </si>
  <si>
    <t>Demond Claiborne</t>
  </si>
  <si>
    <t>Malachi Lawrence</t>
  </si>
  <si>
    <t>CJ Donaldson</t>
  </si>
  <si>
    <t>T.J. Parker</t>
  </si>
  <si>
    <t>Cashius Howell</t>
  </si>
  <si>
    <t>Brent</t>
  </si>
  <si>
    <t>Keldric Faulk</t>
  </si>
  <si>
    <t>Akheem Mesidor</t>
  </si>
  <si>
    <t>Joey</t>
  </si>
  <si>
    <t>Justin Joly</t>
  </si>
  <si>
    <t>Eli Raridon</t>
  </si>
  <si>
    <t>MaKayla</t>
  </si>
  <si>
    <t>DJ Rogers</t>
  </si>
  <si>
    <t>Lake McRee</t>
  </si>
  <si>
    <t>Ty</t>
  </si>
  <si>
    <t>Cade Klubnik</t>
  </si>
  <si>
    <t>Kich</t>
  </si>
  <si>
    <t>Drew Allar</t>
  </si>
  <si>
    <t>Carson Beck</t>
  </si>
  <si>
    <t>Eric</t>
  </si>
  <si>
    <t>Joe Royer</t>
  </si>
  <si>
    <t>Collin</t>
  </si>
  <si>
    <t>Sam Roush</t>
  </si>
  <si>
    <t>Tanner Koziol</t>
  </si>
  <si>
    <t>Roy</t>
  </si>
  <si>
    <t>Jack Endries</t>
  </si>
  <si>
    <t>Jason</t>
  </si>
  <si>
    <t>Matthew Hibner</t>
  </si>
  <si>
    <t>Tyren Montgomery</t>
  </si>
  <si>
    <t>Blaine</t>
  </si>
  <si>
    <t>Bryce Lance</t>
  </si>
  <si>
    <t>Kevin Coleman</t>
  </si>
  <si>
    <t>Joel</t>
  </si>
  <si>
    <t>Garrett Nussmeier</t>
  </si>
  <si>
    <t>Nate Boerkircher</t>
  </si>
  <si>
    <t>Will Kacmarek</t>
  </si>
  <si>
    <t>Noah Whittington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</si>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</sst>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6</v>
      </c>
      <c r="J1" s="6" t="s">
        <v>7</v>
      </c>
      <c r="K1" s="6" t="s">
        <v>8</v>
      </c>
      <c r="L1" s="8" t="s">
        <v>9</v>
      </c>
      <c r="M1" s="4">
        <v>12.0</v>
      </c>
      <c r="N1" s="9"/>
      <c r="O1" s="6" t="s">
        <v>14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9"/>
      <c r="N2" s="9"/>
      <c r="O2" s="6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9"/>
      <c r="N3" s="9"/>
      <c r="O3" s="6" t="s">
        <v>34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9"/>
      <c r="N4" s="9"/>
      <c r="O4" s="6" t="s">
        <v>39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9"/>
      <c r="N5" s="9"/>
      <c r="O5" s="6" t="s">
        <v>42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9"/>
      <c r="N6" s="9"/>
      <c r="O6" s="6" t="s">
        <v>46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9"/>
      <c r="N7" s="9"/>
      <c r="O7" s="6" t="s">
        <v>50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9"/>
      <c r="N8" s="9"/>
      <c r="O8" s="9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9"/>
      <c r="N10" s="9"/>
      <c r="O10" s="9"/>
      <c r="P10" s="15"/>
      <c r="Q10" s="15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9"/>
      <c r="N11" s="9"/>
      <c r="O11" s="9"/>
      <c r="P11" s="15"/>
      <c r="Q11" s="15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9"/>
      <c r="N12" s="9"/>
      <c r="O12" s="9"/>
      <c r="P12" s="15"/>
      <c r="Q12" s="15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9"/>
      <c r="N13" s="9"/>
      <c r="O13" s="9"/>
      <c r="P13" s="15"/>
      <c r="Q13" s="15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9"/>
      <c r="N14" s="9"/>
      <c r="O14" s="9"/>
      <c r="P14" s="15"/>
      <c r="Q14" s="15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9"/>
      <c r="N15" s="9"/>
      <c r="O15" s="9"/>
      <c r="P15" s="15"/>
      <c r="Q15" s="15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9"/>
      <c r="N16" s="9"/>
      <c r="O16" s="9"/>
      <c r="P16" s="15"/>
      <c r="Q16" s="15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9"/>
      <c r="N29" s="9"/>
      <c r="O29" s="6" t="s">
        <v>83</v>
      </c>
      <c r="P29" s="6" t="s">
        <v>84</v>
      </c>
      <c r="Q29" s="9"/>
      <c r="R29" s="6" t="s">
        <v>85</v>
      </c>
      <c r="S29" s="6" t="s">
        <v>86</v>
      </c>
      <c r="T29" s="6" t="s">
        <v>87</v>
      </c>
      <c r="U29" s="9"/>
      <c r="V29" s="6" t="s">
        <v>88</v>
      </c>
      <c r="W29" s="6" t="s">
        <v>89</v>
      </c>
      <c r="X29" s="6" t="s">
        <v>90</v>
      </c>
      <c r="Y29" s="6" t="s">
        <v>91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9"/>
      <c r="N30" s="9"/>
      <c r="O30" s="4">
        <v>1.0</v>
      </c>
      <c r="P30" s="6" t="s">
        <v>96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1"/>
      <c r="W30" s="21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9"/>
      <c r="N31" s="9"/>
      <c r="O31" s="4">
        <v>2.0</v>
      </c>
      <c r="P31" s="6" t="s">
        <v>102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9"/>
      <c r="N32" s="9"/>
      <c r="O32" s="4">
        <v>3.0</v>
      </c>
      <c r="P32" s="6" t="s">
        <v>105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9"/>
      <c r="N33" s="9"/>
      <c r="O33" s="4">
        <v>4.0</v>
      </c>
      <c r="P33" s="6" t="s">
        <v>108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9"/>
      <c r="N34" s="9"/>
      <c r="O34" s="4">
        <v>5.0</v>
      </c>
      <c r="P34" s="6" t="s">
        <v>111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9"/>
      <c r="N35" s="9"/>
      <c r="O35" s="4">
        <v>6.0</v>
      </c>
      <c r="P35" s="6" t="s">
        <v>113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9"/>
      <c r="N36" s="9"/>
      <c r="O36" s="4">
        <v>7.0</v>
      </c>
      <c r="P36" s="6" t="s">
        <v>116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9"/>
      <c r="N37" s="9"/>
      <c r="O37" s="4">
        <v>8.0</v>
      </c>
      <c r="P37" s="6" t="s">
        <v>118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9"/>
      <c r="N38" s="9"/>
      <c r="O38" s="4">
        <v>9.0</v>
      </c>
      <c r="P38" s="6" t="s">
        <v>121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9"/>
      <c r="N39" s="9"/>
      <c r="O39" s="4">
        <v>10.0</v>
      </c>
      <c r="P39" s="6" t="s">
        <v>123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9"/>
      <c r="N40" s="9"/>
      <c r="O40" s="4">
        <v>11.0</v>
      </c>
      <c r="P40" s="6" t="s">
        <v>126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9"/>
      <c r="N41" s="9"/>
      <c r="O41" s="4">
        <v>12.0</v>
      </c>
      <c r="P41" s="6" t="s">
        <v>129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9"/>
      <c r="N44" s="9"/>
      <c r="O44" s="6" t="s">
        <v>88</v>
      </c>
      <c r="P44" s="6" t="s">
        <v>14</v>
      </c>
      <c r="Q44" s="6" t="s">
        <v>134</v>
      </c>
      <c r="R44" s="6" t="s">
        <v>84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9" t="str">
        <f t="shared" si="21"/>
        <v>Blaine</v>
      </c>
      <c r="S58" s="9"/>
      <c r="T58" s="9"/>
      <c r="U58" s="9"/>
      <c r="V58" s="21"/>
      <c r="W58" s="21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9" t="str">
        <f t="shared" si="21"/>
        <v>Jason</v>
      </c>
      <c r="S59" s="9"/>
      <c r="T59" s="9"/>
      <c r="U59" s="9"/>
      <c r="V59" s="21"/>
      <c r="W59" s="21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9" t="str">
        <f t="shared" si="21"/>
        <v>Roy</v>
      </c>
      <c r="S60" s="9"/>
      <c r="T60" s="9"/>
      <c r="U60" s="9"/>
      <c r="V60" s="21"/>
      <c r="W60" s="21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9" t="str">
        <f t="shared" si="21"/>
        <v>Kich</v>
      </c>
      <c r="S63" s="9"/>
      <c r="T63" s="9" t="s">
        <v>129</v>
      </c>
      <c r="U63" s="15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9" t="str">
        <f t="shared" si="21"/>
        <v>Ty</v>
      </c>
      <c r="S64" s="9"/>
      <c r="T64" s="9" t="s">
        <v>126</v>
      </c>
      <c r="U64" s="15">
        <f t="shared" si="22"/>
        <v>144.5</v>
      </c>
      <c r="V64" s="21"/>
      <c r="W64" s="21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9" t="str">
        <f t="shared" si="21"/>
        <v>MaKayla</v>
      </c>
      <c r="S65" s="9"/>
      <c r="T65" s="6" t="s">
        <v>123</v>
      </c>
      <c r="U65" s="15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9" t="str">
        <f t="shared" si="21"/>
        <v>Joey</v>
      </c>
      <c r="S66" s="9"/>
      <c r="T66" s="9" t="s">
        <v>121</v>
      </c>
      <c r="U66" s="15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9" t="str">
        <f t="shared" si="21"/>
        <v>Brent</v>
      </c>
      <c r="S67" s="9"/>
      <c r="T67" s="9" t="s">
        <v>118</v>
      </c>
      <c r="U67" s="15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9" t="str">
        <f t="shared" si="21"/>
        <v>Ed</v>
      </c>
      <c r="S68" s="9"/>
      <c r="T68" s="9" t="s">
        <v>116</v>
      </c>
      <c r="U68" s="15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9" t="str">
        <f t="shared" si="21"/>
        <v>Joel</v>
      </c>
      <c r="S69" s="9"/>
      <c r="T69" s="9" t="s">
        <v>113</v>
      </c>
      <c r="U69" s="15">
        <f t="shared" si="22"/>
        <v>83</v>
      </c>
      <c r="V69" s="21"/>
      <c r="W69" s="21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5">
        <f t="shared" si="20"/>
        <v>9</v>
      </c>
      <c r="R70" s="9" t="str">
        <f t="shared" si="21"/>
        <v>Blaine</v>
      </c>
      <c r="S70" s="9"/>
      <c r="T70" s="9" t="s">
        <v>111</v>
      </c>
      <c r="U70" s="15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5">
        <f t="shared" si="20"/>
        <v>7</v>
      </c>
      <c r="R71" s="9" t="str">
        <f t="shared" si="21"/>
        <v>Jason</v>
      </c>
      <c r="S71" s="9"/>
      <c r="T71" s="9" t="s">
        <v>108</v>
      </c>
      <c r="U71" s="15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5">
        <f t="shared" si="20"/>
        <v>7</v>
      </c>
      <c r="R72" s="9" t="str">
        <f t="shared" si="21"/>
        <v>Roy</v>
      </c>
      <c r="S72" s="9"/>
      <c r="T72" s="9" t="s">
        <v>105</v>
      </c>
      <c r="U72" s="15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9" t="str">
        <f t="shared" si="21"/>
        <v>Collin</v>
      </c>
      <c r="S73" s="9"/>
      <c r="T73" s="9" t="s">
        <v>102</v>
      </c>
      <c r="U73" s="15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9" t="str">
        <f t="shared" si="21"/>
        <v>Eric</v>
      </c>
      <c r="S74" s="9"/>
      <c r="T74" s="9" t="s">
        <v>96</v>
      </c>
      <c r="U74" s="15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9" t="str">
        <f t="shared" si="21"/>
        <v>Kich</v>
      </c>
      <c r="S75" s="9"/>
      <c r="T75" s="9"/>
      <c r="U75" s="15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9" t="str">
        <f t="shared" si="21"/>
        <v>Brent</v>
      </c>
      <c r="S79" s="9"/>
      <c r="T79" s="9"/>
      <c r="U79" s="15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9" t="str">
        <f t="shared" si="21"/>
        <v>Ed</v>
      </c>
      <c r="S80" s="9"/>
      <c r="T80" s="9"/>
      <c r="U80" s="15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9" t="str">
        <f t="shared" si="21"/>
        <v>Joel</v>
      </c>
      <c r="S81" s="9"/>
      <c r="T81" s="9"/>
      <c r="U81" s="15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9" t="str">
        <f t="shared" si="21"/>
        <v>Blaine</v>
      </c>
      <c r="S82" s="9"/>
      <c r="T82" s="9"/>
      <c r="U82" s="15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9" t="str">
        <f t="shared" si="21"/>
        <v>Jason</v>
      </c>
      <c r="S83" s="9"/>
      <c r="T83" s="9"/>
      <c r="U83" s="15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9" t="str">
        <f t="shared" si="21"/>
        <v>Roy</v>
      </c>
      <c r="S84" s="9"/>
      <c r="T84" s="9"/>
      <c r="U84" s="15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9" t="str">
        <f t="shared" si="21"/>
        <v>Collin</v>
      </c>
      <c r="S85" s="9"/>
      <c r="T85" s="9"/>
      <c r="U85" s="15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9" t="str">
        <f t="shared" si="21"/>
        <v>Eric</v>
      </c>
      <c r="S86" s="9"/>
      <c r="T86" s="9"/>
      <c r="U86" s="15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9" t="str">
        <f t="shared" si="21"/>
        <v>Kich</v>
      </c>
      <c r="S87" s="9"/>
      <c r="T87" s="9"/>
      <c r="U87" s="15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9" t="str">
        <f t="shared" si="21"/>
        <v>Ty</v>
      </c>
      <c r="S88" s="9"/>
      <c r="T88" s="9"/>
      <c r="U88" s="15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9" t="str">
        <f t="shared" si="21"/>
        <v>MaKayla</v>
      </c>
      <c r="S89" s="9"/>
      <c r="T89" s="9"/>
      <c r="U89" s="15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9" t="str">
        <f t="shared" si="21"/>
        <v>Joey</v>
      </c>
      <c r="S90" s="9"/>
      <c r="T90" s="9"/>
      <c r="U90" s="15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5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5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5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29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27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52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54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48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55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36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57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58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60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92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38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41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51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59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100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117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122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130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97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127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115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95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107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106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114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94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112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5</v>
      </c>
      <c r="B1" s="7" t="s">
        <v>10</v>
      </c>
      <c r="C1" s="7" t="s">
        <v>11</v>
      </c>
      <c r="D1" s="7" t="s">
        <v>12</v>
      </c>
      <c r="E1" s="7" t="s">
        <v>13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7" t="s">
        <v>26</v>
      </c>
      <c r="L4" s="10">
        <f>'Draft Data'!U63</f>
        <v>180</v>
      </c>
    </row>
    <row r="5">
      <c r="A5" s="7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7" t="s">
        <v>28</v>
      </c>
      <c r="L5" s="18">
        <f>SUM($D$2:$D$500)
</f>
        <v>0</v>
      </c>
    </row>
    <row r="6">
      <c r="A6" s="7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7" t="s">
        <v>30</v>
      </c>
      <c r="L6" s="18">
        <f>L2-L5
</f>
        <v>1200</v>
      </c>
    </row>
    <row r="7">
      <c r="A7" s="7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7" t="s">
        <v>32</v>
      </c>
      <c r="L7" s="18">
        <f>SUMIF($E$2:$E$500,TRUE,$D$2:$D$500)</f>
        <v>0</v>
      </c>
    </row>
    <row r="8">
      <c r="A8" s="7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7" t="s">
        <v>35</v>
      </c>
      <c r="L8" s="12">
        <f>L4-L7
</f>
        <v>180</v>
      </c>
    </row>
    <row r="9">
      <c r="A9" s="7">
        <v>8.0</v>
      </c>
      <c r="B9" s="11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7" t="s">
        <v>37</v>
      </c>
      <c r="L9" s="12">
        <f>L6-L8
</f>
        <v>1020</v>
      </c>
    </row>
    <row r="10">
      <c r="A10" s="7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7" t="s">
        <v>40</v>
      </c>
      <c r="L10" s="12">
        <f>IF(L3&gt;1,L9/(L3-1),0)</f>
        <v>92.72727273</v>
      </c>
    </row>
    <row r="11">
      <c r="A11" s="7">
        <v>10.0</v>
      </c>
      <c r="B11" s="11" t="s">
        <v>41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7" t="s">
        <v>43</v>
      </c>
      <c r="L11" s="19">
        <f>IF(L10&gt;0,L8/L10,1)</f>
        <v>1.941176471</v>
      </c>
    </row>
    <row r="12">
      <c r="A12" s="7">
        <v>11.0</v>
      </c>
      <c r="B12" s="11" t="s">
        <v>44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7">
        <v>12.0</v>
      </c>
      <c r="B13" s="11" t="s">
        <v>45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7" t="s">
        <v>47</v>
      </c>
      <c r="L13" s="18">
        <f>SUMIF($D$2:$D$73,"",$C$2:$C$73)</f>
        <v>1200</v>
      </c>
    </row>
    <row r="14">
      <c r="A14" s="7">
        <v>13.0</v>
      </c>
      <c r="B14" s="11" t="s">
        <v>48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7" t="s">
        <v>49</v>
      </c>
      <c r="L14" s="19">
        <f>IF(L13&gt;0,L6/L13,1)</f>
        <v>1</v>
      </c>
    </row>
    <row r="15">
      <c r="A15" s="7">
        <v>14.0</v>
      </c>
      <c r="B15" s="11" t="s">
        <v>51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7">
        <v>15.0</v>
      </c>
      <c r="B16" s="11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7" t="s">
        <v>53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7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7" t="s">
        <v>56</v>
      </c>
      <c r="L18" s="20">
        <f>L5/L2</f>
        <v>0</v>
      </c>
    </row>
    <row r="19">
      <c r="A19" s="7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7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7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7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7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7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7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7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7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7" t="s">
        <v>66</v>
      </c>
      <c r="L27" s="7">
        <v>0.8</v>
      </c>
    </row>
    <row r="28">
      <c r="A28" s="7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7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7">
        <v>43.0</v>
      </c>
      <c r="B44" s="11" t="s">
        <v>92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7">
        <v>44.0</v>
      </c>
      <c r="B45" s="11" t="s">
        <v>93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7">
        <v>45.0</v>
      </c>
      <c r="B46" s="11" t="s">
        <v>94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7">
        <v>46.0</v>
      </c>
      <c r="B47" s="11" t="s">
        <v>95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7">
        <v>47.0</v>
      </c>
      <c r="B48" s="11" t="s">
        <v>97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7">
        <v>48.0</v>
      </c>
      <c r="B49" s="11" t="s">
        <v>98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7">
        <v>49.0</v>
      </c>
      <c r="B50" s="11" t="s">
        <v>99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7">
        <v>50.0</v>
      </c>
      <c r="B51" s="11" t="s">
        <v>100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7">
        <v>51.0</v>
      </c>
      <c r="B52" s="11" t="s">
        <v>101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7">
        <v>52.0</v>
      </c>
      <c r="B53" s="11" t="s">
        <v>103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7">
        <v>53.0</v>
      </c>
      <c r="B54" s="11" t="s">
        <v>104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7">
        <v>54.0</v>
      </c>
      <c r="B55" s="11" t="s">
        <v>106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7">
        <v>55.0</v>
      </c>
      <c r="B56" s="11" t="s">
        <v>107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7">
        <v>56.0</v>
      </c>
      <c r="B57" s="11" t="s">
        <v>109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7">
        <v>57.0</v>
      </c>
      <c r="B58" s="11" t="s">
        <v>110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7">
        <v>58.0</v>
      </c>
      <c r="B59" s="11" t="s">
        <v>112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7">
        <v>59.0</v>
      </c>
      <c r="B60" s="11" t="s">
        <v>114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7">
        <v>60.0</v>
      </c>
      <c r="B61" s="11" t="s">
        <v>115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7">
        <v>61.0</v>
      </c>
      <c r="B62" s="11" t="s">
        <v>117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7">
        <v>62.0</v>
      </c>
      <c r="B63" s="11" t="s">
        <v>119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7">
        <v>63.0</v>
      </c>
      <c r="B64" s="11" t="s">
        <v>120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7">
        <v>64.0</v>
      </c>
      <c r="B65" s="11" t="s">
        <v>122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7">
        <v>65.0</v>
      </c>
      <c r="B66" s="11" t="s">
        <v>124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7">
        <v>66.0</v>
      </c>
      <c r="B67" s="11" t="s">
        <v>125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7">
        <v>67.0</v>
      </c>
      <c r="B68" s="11" t="s">
        <v>127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7">
        <v>68.0</v>
      </c>
      <c r="B69" s="11" t="s">
        <v>128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7">
        <v>69.0</v>
      </c>
      <c r="B70" s="11" t="s">
        <v>130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7">
        <v>70.0</v>
      </c>
      <c r="B71" s="11" t="s">
        <v>131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7">
        <v>71.0</v>
      </c>
      <c r="B72" s="11" t="s">
        <v>132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7">
        <v>72.0</v>
      </c>
      <c r="B73" s="7" t="s">
        <v>133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