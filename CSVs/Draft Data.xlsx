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<sst xmlns="http://schemas.openxmlformats.org/spreadsheetml/2006/main" count="312" uniqueCount="178">
  <si>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</si>
  <si>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</si>
  <si>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</si>
  <si>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</si>
  <si>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</si>
  <si>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</si>
  <si>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</si>
  <si>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</si>
  <si>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</si>
  <si>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</si>
  <si>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My Max Bid</t>
  </si>
  <si>
    <t>Spine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</si>
  <si>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</si>
  <si>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</si>
  <si>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</si>
  <si>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</si>
  <si>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</si>
  <si>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</si>
  <si>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</si>
  <si>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</si>
  <si>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</si>
  <si>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</si>
  <si>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</si>
  <si>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</si>
  <si>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</si>
  <si>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</si>
  <si>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</si>
  <si>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</si>
  <si>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</si>
  <si>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</si>
  <si>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</si>
  <si>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</si>
  <si>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</si>
  <si>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</si>
  <si>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</si>
  <si>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</si>
  <si>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</si>
  <si>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</si>
  <si>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</si>
  <si>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</si>
  <si>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</si>
  <si>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</si>
  <si>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</si>
  <si>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</si>
  <si>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</si>
  <si>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</si>
  <si>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Round 3</t>
  </si>
  <si>
    <t>Round 4</t>
  </si>
  <si>
    <t>Inflation Factor</t>
  </si>
  <si>
    <t>Ty Simpson</t>
  </si>
  <si>
    <t>Denzel Boston</t>
  </si>
  <si>
    <t>Round 5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</si>
  <si>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</si>
  <si>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</si>
  <si>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</si>
  <si>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</si>
  <si>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</si>
  <si>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</si>
  <si>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</si>
  <si>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</si>
  <si>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</si>
  <si>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</si>
  <si>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</si>
  <si>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</si>
  <si>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</si>
  <si>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</si>
  <si>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</si>
  <si>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</si>
  <si>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</si>
  <si>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</si>
  <si>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</si>
  <si>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</si>
  <si>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</si>
  <si>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</si>
  <si>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</si>
  <si>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</si>
  <si>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</si>
  <si>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</si>
  <si>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</si>
  <si>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</si>
  <si>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</si>
  <si>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</si>
  <si>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</si>
  <si>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</si>
  <si>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</si>
  <si>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</si>
  <si>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</si>
  <si>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</si>
  <si>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</si>
  <si>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</si>
  <si>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</si>
  <si>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</si>
  <si>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</si>
  <si>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</si>
  <si>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</si>
  <si>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</si>
  <si>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</si>
  <si>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</si>
  <si>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</si>
  <si>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</si>
  <si>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</si>
  <si>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</si>
  <si>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</si>
  <si>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</si>
  <si>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</si>
  <si>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</si>
  <si>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</si>
  <si>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Standings</t>
  </si>
  <si>
    <t>Owner</t>
  </si>
  <si>
    <t>Bryce Lance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</si>
  <si>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</si>
  <si>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</si>
  <si>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</si>
  <si>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</si>
  <si>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</si>
  <si>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</si>
  <si>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</si>
  <si>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Kevin Coleman</t>
  </si>
  <si>
    <t>Garrett Nussmeier</t>
  </si>
  <si>
    <t>Ed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</si>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</sst>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11</v>
      </c>
      <c r="F1" s="6">
        <v>2025.0</v>
      </c>
      <c r="G1" s="6">
        <v>2024.0</v>
      </c>
      <c r="H1" s="7">
        <v>2026.0</v>
      </c>
      <c r="I1" s="8" t="s">
        <v>16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28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41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12"/>
      <c r="N4" s="12"/>
      <c r="O4" s="8" t="s">
        <v>46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12"/>
      <c r="N5" s="12"/>
      <c r="O5" s="8" t="s">
        <v>47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12"/>
      <c r="N6" s="12"/>
      <c r="O6" s="8" t="s">
        <v>51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12"/>
      <c r="N7" s="12"/>
      <c r="O7" s="8" t="s">
        <v>53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12"/>
      <c r="N11" s="12"/>
      <c r="O11" s="12"/>
      <c r="P11" s="15"/>
      <c r="Q11" s="15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12"/>
      <c r="N12" s="12"/>
      <c r="O12" s="12"/>
      <c r="P12" s="15"/>
      <c r="Q12" s="15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12"/>
      <c r="N13" s="12"/>
      <c r="O13" s="12"/>
      <c r="P13" s="15"/>
      <c r="Q13" s="15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12"/>
      <c r="N14" s="12"/>
      <c r="O14" s="12"/>
      <c r="P14" s="15"/>
      <c r="Q14" s="15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12"/>
      <c r="N29" s="12"/>
      <c r="O29" s="8" t="s">
        <v>107</v>
      </c>
      <c r="P29" s="8" t="s">
        <v>108</v>
      </c>
      <c r="Q29" s="12"/>
      <c r="R29" s="8" t="s">
        <v>110</v>
      </c>
      <c r="S29" s="8" t="s">
        <v>111</v>
      </c>
      <c r="T29" s="8" t="s">
        <v>112</v>
      </c>
      <c r="U29" s="12"/>
      <c r="V29" s="8" t="s">
        <v>113</v>
      </c>
      <c r="W29" s="8" t="s">
        <v>114</v>
      </c>
      <c r="X29" s="8" t="s">
        <v>115</v>
      </c>
      <c r="Y29" s="8" t="s">
        <v>116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119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12"/>
      <c r="N44" s="12"/>
      <c r="O44" s="8" t="s">
        <v>113</v>
      </c>
      <c r="P44" s="8" t="s">
        <v>20</v>
      </c>
      <c r="Q44" s="8" t="s">
        <v>134</v>
      </c>
      <c r="R44" s="8" t="s">
        <v>108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8" t="s">
        <v>131</v>
      </c>
      <c r="U65" s="15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123</v>
      </c>
      <c r="U73" s="15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119</v>
      </c>
      <c r="U74" s="15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15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50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54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55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57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58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49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118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109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10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29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9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48</v>
      </c>
      <c r="L14" s="19">
        <f>IF(L13&gt;0,L6/L13,1)</f>
        <v>1</v>
      </c>
    </row>
    <row r="15">
      <c r="A15" s="2">
        <v>14.0</v>
      </c>
      <c r="B15" s="9" t="s">
        <v>49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9" t="s">
        <v>50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52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54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9" t="s">
        <v>55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9" t="s">
        <v>57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9" t="s">
        <v>58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9" t="s">
        <v>59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9" t="s">
        <v>60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9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9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9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9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9" t="s">
        <v>109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9" t="s">
        <v>117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9" t="s">
        <v>118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9" t="s">
        <v>120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9" t="s">
        <v>121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122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