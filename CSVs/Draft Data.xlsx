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<sst xmlns="http://schemas.openxmlformats.org/spreadsheetml/2006/main" count="312" uniqueCount="178">
  <si>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</si>
  <si>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</si>
  <si>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</si>
  <si>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</si>
  <si>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</si>
  <si>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</si>
  <si>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PLAYER NAME</t>
  </si>
  <si>
    <t>PreDraft$</t>
  </si>
  <si>
    <t>Final Price</t>
  </si>
  <si>
    <t>Floors</t>
  </si>
  <si>
    <t>Mine?</t>
  </si>
  <si>
    <t>Fractions</t>
  </si>
  <si>
    <t>Monotone Rounded</t>
  </si>
  <si>
    <t>Inflated Fair Price</t>
  </si>
  <si>
    <t>Final Dollar Per Pick</t>
  </si>
  <si>
    <t>My Max Bid</t>
  </si>
  <si>
    <t>EnforceUpTo</t>
  </si>
  <si>
    <t>Value vs Fair</t>
  </si>
  <si>
    <t>Pick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</si>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</sst>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5">
        <v>2025.0</v>
      </c>
      <c r="G1" s="5">
        <v>2024.0</v>
      </c>
      <c r="H1" s="6">
        <v>2026.0</v>
      </c>
      <c r="I1" s="7" t="s">
        <v>9</v>
      </c>
      <c r="J1" s="7" t="s">
        <v>11</v>
      </c>
      <c r="K1" s="7" t="s">
        <v>12</v>
      </c>
      <c r="L1" s="9" t="s">
        <v>14</v>
      </c>
      <c r="M1" s="5">
        <v>12.0</v>
      </c>
      <c r="N1" s="10"/>
      <c r="O1" s="7" t="s">
        <v>18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28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8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0"/>
      <c r="N4" s="10"/>
      <c r="O4" s="7" t="s">
        <v>48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8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0"/>
      <c r="N5" s="10"/>
      <c r="O5" s="7" t="s">
        <v>52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8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0"/>
      <c r="N6" s="10"/>
      <c r="O6" s="7" t="s">
        <v>59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8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0"/>
      <c r="N7" s="10"/>
      <c r="O7" s="7" t="s">
        <v>65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8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8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0"/>
      <c r="N11" s="10"/>
      <c r="O11" s="10"/>
      <c r="P11" s="15"/>
      <c r="Q11" s="15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0"/>
      <c r="N12" s="10"/>
      <c r="O12" s="10"/>
      <c r="P12" s="15"/>
      <c r="Q12" s="15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0"/>
      <c r="N13" s="10"/>
      <c r="O13" s="10"/>
      <c r="P13" s="15"/>
      <c r="Q13" s="15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0"/>
      <c r="N14" s="10"/>
      <c r="O14" s="10"/>
      <c r="P14" s="15"/>
      <c r="Q14" s="15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18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122</v>
      </c>
      <c r="U74" s="15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58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5</v>
      </c>
      <c r="B1" s="4" t="s">
        <v>6</v>
      </c>
      <c r="C1" s="4" t="s">
        <v>7</v>
      </c>
      <c r="D1" s="4" t="s">
        <v>8</v>
      </c>
      <c r="E1" s="4" t="s">
        <v>10</v>
      </c>
      <c r="F1" s="8" t="s">
        <v>13</v>
      </c>
      <c r="G1" s="8" t="s">
        <v>15</v>
      </c>
      <c r="H1" s="8" t="s">
        <v>16</v>
      </c>
      <c r="I1" s="4" t="s">
        <v>17</v>
      </c>
      <c r="K1" s="4" t="s">
        <v>19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4" t="s">
        <v>30</v>
      </c>
      <c r="L6" s="17">
        <f>L2-L5
</f>
        <v>1200</v>
      </c>
    </row>
    <row r="7">
      <c r="A7" s="4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4" t="s">
        <v>32</v>
      </c>
      <c r="L7" s="17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4" t="s">
        <v>41</v>
      </c>
      <c r="L11" s="19">
        <f>IF(L10&gt;0,L8/L10,1)</f>
        <v>1.941176471</v>
      </c>
    </row>
    <row r="12">
      <c r="A12" s="4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4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4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4" t="s">
        <v>50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4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4" t="s">
        <v>54</v>
      </c>
      <c r="L18" s="20">
        <f>L5/L2</f>
        <v>0</v>
      </c>
    </row>
    <row r="19">
      <c r="A19" s="4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4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4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4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4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4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4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4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4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