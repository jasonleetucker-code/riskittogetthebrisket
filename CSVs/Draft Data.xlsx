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<sst xmlns="http://schemas.openxmlformats.org/spreadsheetml/2006/main" count="312" uniqueCount="178">
  <si>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</si>
  <si>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</si>
  <si>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</si>
  <si>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</si>
  <si>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</si>
  <si>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</si>
  <si>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</si>
  <si>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</si>
  <si>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</si>
  <si>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</si>
  <si>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</si>
  <si>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</si>
  <si>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</si>
  <si>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</si>
  <si>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</si>
  <si>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</si>
  <si>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</si>
  <si>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</si>
  <si>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</si>
  <si>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</si>
  <si>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</si>
  <si>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</si>
  <si>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</si>
  <si>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</si>
  <si>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</si>
  <si>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</si>
  <si>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</si>
  <si>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</si>
  <si>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</si>
  <si>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</si>
  <si>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</si>
  <si>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</si>
  <si>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</si>
  <si>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</si>
  <si>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</si>
  <si>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</si>
  <si>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</si>
  <si>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</si>
  <si>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</si>
  <si>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</si>
  <si>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</si>
  <si>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</si>
  <si>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</si>
  <si>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</si>
  <si>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</si>
  <si>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</si>
  <si>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</si>
  <si>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</si>
  <si>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</si>
  <si>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</si>
  <si>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</si>
  <si>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</si>
  <si>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</si>
  <si>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</si>
  <si>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</si>
  <si>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</si>
  <si>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</si>
  <si>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</si>
  <si>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</si>
  <si>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</si>
  <si>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</si>
  <si>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</si>
  <si>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</si>
  <si>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</si>
  <si>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</si>
  <si>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</si>
  <si>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</si>
  <si>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</si>
  <si>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</si>
  <si>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</si>
  <si>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</si>
  <si>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</si>
  <si>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</si>
  <si>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</si>
  <si>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</si>
  <si>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</si>
  <si>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</si>
  <si>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</si>
  <si>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</si>
  <si>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</si>
  <si>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</si>
  <si>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</si>
  <si>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</si>
  <si>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</si>
  <si>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</si>
  <si>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</si>
  <si>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</si>
  <si>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</si>
  <si>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</si>
  <si>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</si>
  <si>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</si>
  <si>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</si>
  <si>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</si>
  <si>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</si>
  <si>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</si>
  <si>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</si>
  <si>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</si>
  <si>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</si>
  <si>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</si>
  <si>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</si>
  <si>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</si>
  <si>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</si>
  <si>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</si>
  <si>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</si>
  <si>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</si>
  <si>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</si>
  <si>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</si>
  <si>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</si>
  <si>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</si>
  <si>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Carson Beck</t>
  </si>
  <si>
    <t>Ed</t>
  </si>
  <si>
    <t>Brent</t>
  </si>
  <si>
    <t>Joe Royer</t>
  </si>
  <si>
    <t>Sam Roush</t>
  </si>
  <si>
    <t>Tanner Koziol</t>
  </si>
  <si>
    <t>Joey</t>
  </si>
  <si>
    <t>Jack Endries</t>
  </si>
  <si>
    <t>MaKayla</t>
  </si>
  <si>
    <t>Ty</t>
  </si>
  <si>
    <t>Matthew Hibner</t>
  </si>
  <si>
    <t>Kich</t>
  </si>
  <si>
    <t>Tyren Montgomery</t>
  </si>
  <si>
    <t>Bryce Lance</t>
  </si>
  <si>
    <t>Kevin Coleman</t>
  </si>
  <si>
    <t>Garrett Nussmeier</t>
  </si>
  <si>
    <t>Eric</t>
  </si>
  <si>
    <t>Nate Boerkircher</t>
  </si>
  <si>
    <t>Will Kacmarek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</si>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</sst>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100</v>
      </c>
      <c r="P29" s="6" t="s">
        <v>101</v>
      </c>
      <c r="Q29" s="9"/>
      <c r="R29" s="6" t="s">
        <v>102</v>
      </c>
      <c r="S29" s="6" t="s">
        <v>103</v>
      </c>
      <c r="T29" s="6" t="s">
        <v>104</v>
      </c>
      <c r="U29" s="9"/>
      <c r="V29" s="6" t="s">
        <v>105</v>
      </c>
      <c r="W29" s="6" t="s">
        <v>106</v>
      </c>
      <c r="X29" s="6" t="s">
        <v>107</v>
      </c>
      <c r="Y29" s="6" t="s">
        <v>108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110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111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115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117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118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120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125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105</v>
      </c>
      <c r="P44" s="6" t="s">
        <v>13</v>
      </c>
      <c r="Q44" s="6" t="s">
        <v>134</v>
      </c>
      <c r="R44" s="6" t="s">
        <v>101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125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120</v>
      </c>
      <c r="U69" s="16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118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117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115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111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110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50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53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46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54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49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112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116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124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122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109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30</v>
      </c>
      <c r="L6" s="17">
        <f>L2-L5
</f>
        <v>1200</v>
      </c>
    </row>
    <row r="7">
      <c r="A7" s="7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41</v>
      </c>
      <c r="L11" s="19">
        <f>IF(L10&gt;0,L8/L10,1)</f>
        <v>1.941176471</v>
      </c>
    </row>
    <row r="12">
      <c r="A12" s="7">
        <v>11.0</v>
      </c>
      <c r="B12" s="11" t="s">
        <v>43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44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45</v>
      </c>
      <c r="L13" s="17">
        <f>SUMIF($D$2:$D$73,"",$C$2:$C$73)</f>
        <v>1200</v>
      </c>
    </row>
    <row r="14">
      <c r="A14" s="7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48</v>
      </c>
      <c r="L14" s="19">
        <f>IF(L13&gt;0,L6/L13,1)</f>
        <v>1</v>
      </c>
    </row>
    <row r="15">
      <c r="A15" s="7">
        <v>14.0</v>
      </c>
      <c r="B15" s="11" t="s">
        <v>49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50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51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55</v>
      </c>
      <c r="L18" s="20">
        <f>L5/L2</f>
        <v>0</v>
      </c>
    </row>
    <row r="19">
      <c r="A19" s="7">
        <v>18.0</v>
      </c>
      <c r="B19" s="11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109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112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113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114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116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119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121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122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123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124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126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127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128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