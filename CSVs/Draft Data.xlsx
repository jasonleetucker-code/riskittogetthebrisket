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<sst xmlns="http://schemas.openxmlformats.org/spreadsheetml/2006/main" count="312" uniqueCount="178">
  <si>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</si>
  <si>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</si>
  <si>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</si>
  <si>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VALUE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</si>
  <si>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</si>
  <si>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</si>
  <si>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</si>
  <si>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</si>
  <si>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</si>
  <si>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</si>
  <si>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</si>
  <si>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</si>
  <si>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</si>
  <si>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</si>
  <si>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</si>
  <si>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</si>
  <si>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</si>
  <si>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</si>
  <si>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</si>
  <si>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</si>
  <si>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</si>
  <si>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</si>
  <si>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</si>
  <si>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</si>
  <si>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</si>
  <si>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</si>
  <si>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</si>
  <si>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</si>
  <si>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</si>
  <si>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</si>
  <si>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</si>
  <si>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</si>
  <si>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</si>
  <si>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</si>
  <si>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</si>
  <si>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</si>
  <si>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</si>
  <si>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</si>
  <si>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</si>
  <si>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</si>
  <si>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</si>
  <si>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</si>
  <si>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</si>
  <si>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</si>
  <si>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</si>
  <si>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</si>
  <si>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</si>
  <si>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</si>
  <si>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</si>
  <si>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</si>
  <si>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</si>
  <si>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</si>
  <si>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Round 5</t>
  </si>
  <si>
    <t>Caleb Downs</t>
  </si>
  <si>
    <t>David Bailey</t>
  </si>
  <si>
    <t>Round 6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</si>
  <si>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</si>
  <si>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</si>
  <si>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</si>
  <si>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</si>
  <si>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</si>
  <si>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</si>
  <si>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</si>
  <si>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</si>
  <si>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</si>
  <si>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</si>
  <si>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</si>
  <si>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</si>
  <si>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</si>
  <si>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</si>
  <si>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</si>
  <si>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</si>
  <si>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</si>
  <si>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</si>
  <si>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</si>
  <si>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</si>
  <si>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</si>
  <si>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</si>
  <si>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</si>
  <si>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</si>
  <si>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</si>
  <si>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</si>
  <si>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</si>
  <si>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</si>
  <si>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</si>
  <si>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</si>
  <si>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</si>
  <si>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</si>
  <si>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</si>
  <si>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</si>
  <si>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</si>
  <si>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</si>
  <si>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</si>
  <si>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</si>
  <si>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</si>
  <si>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</si>
  <si>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</si>
  <si>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</si>
  <si>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</si>
  <si>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Standings</t>
  </si>
  <si>
    <t>Owner</t>
  </si>
  <si>
    <t>Pick #</t>
  </si>
  <si>
    <t>Override Owner</t>
  </si>
  <si>
    <t>Owner (Final)</t>
  </si>
  <si>
    <t>Drew Allar</t>
  </si>
  <si>
    <t>Round</t>
  </si>
  <si>
    <t>Original Owner</t>
  </si>
  <si>
    <t>New Owner</t>
  </si>
  <si>
    <t>Key</t>
  </si>
  <si>
    <t>Carson Beck</t>
  </si>
  <si>
    <t>Joe Royer</t>
  </si>
  <si>
    <t>Ed</t>
  </si>
  <si>
    <t>Sam Roush</t>
  </si>
  <si>
    <t>Tanner Koziol</t>
  </si>
  <si>
    <t>Jack Endries</t>
  </si>
  <si>
    <t>Matthew Hibner</t>
  </si>
  <si>
    <t>Tyren Montgomery</t>
  </si>
  <si>
    <t>Brent</t>
  </si>
  <si>
    <t>Bryce Lance</t>
  </si>
  <si>
    <t>Kevin Coleman</t>
  </si>
  <si>
    <t>Joey</t>
  </si>
  <si>
    <t>Garrett Nussmeier</t>
  </si>
  <si>
    <t>Nate Boerkircher</t>
  </si>
  <si>
    <t>MaKayla</t>
  </si>
  <si>
    <t>Will Kacmarek</t>
  </si>
  <si>
    <t>Noah Whittington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</si>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</sst>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3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49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55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99</v>
      </c>
      <c r="P29" s="8" t="s">
        <v>100</v>
      </c>
      <c r="Q29" s="12"/>
      <c r="R29" s="8" t="s">
        <v>101</v>
      </c>
      <c r="S29" s="8" t="s">
        <v>102</v>
      </c>
      <c r="T29" s="8" t="s">
        <v>103</v>
      </c>
      <c r="U29" s="12"/>
      <c r="V29" s="8" t="s">
        <v>105</v>
      </c>
      <c r="W29" s="8" t="s">
        <v>106</v>
      </c>
      <c r="X29" s="8" t="s">
        <v>107</v>
      </c>
      <c r="Y29" s="8" t="s">
        <v>108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111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117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120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123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105</v>
      </c>
      <c r="P44" s="8" t="s">
        <v>20</v>
      </c>
      <c r="Q44" s="8" t="s">
        <v>134</v>
      </c>
      <c r="R44" s="8" t="s">
        <v>100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123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120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117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111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50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110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114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121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118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109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104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4</v>
      </c>
      <c r="D1" s="1" t="s">
        <v>5</v>
      </c>
      <c r="E1" s="1" t="s">
        <v>6</v>
      </c>
      <c r="F1" s="5" t="s">
        <v>8</v>
      </c>
      <c r="G1" s="5" t="s">
        <v>10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9" t="s">
        <v>16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9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28</v>
      </c>
      <c r="L5" s="17">
        <f>SUM($D$2:$D$500)
</f>
        <v>0</v>
      </c>
    </row>
    <row r="6">
      <c r="A6" s="1">
        <v>5.0</v>
      </c>
      <c r="B6" s="9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9" t="s">
        <v>44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45</v>
      </c>
      <c r="L13" s="17">
        <f>SUMIF($D$2:$D$73,"",$C$2:$C$73)</f>
        <v>1200</v>
      </c>
    </row>
    <row r="14">
      <c r="A14" s="1">
        <v>13.0</v>
      </c>
      <c r="B14" s="9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9" t="s">
        <v>50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53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9" t="s">
        <v>54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9" t="s">
        <v>57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9" t="s">
        <v>58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9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9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9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9" t="s">
        <v>104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9" t="s">
        <v>109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9" t="s">
        <v>110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9" t="s">
        <v>112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9" t="s">
        <v>113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9" t="s">
        <v>114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9" t="s">
        <v>115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9" t="s">
        <v>116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9" t="s">
        <v>118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9" t="s">
        <v>119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9" t="s">
        <v>121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9" t="s">
        <v>122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9" t="s">
        <v>124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125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