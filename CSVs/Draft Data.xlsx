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<sst xmlns="http://schemas.openxmlformats.org/spreadsheetml/2006/main" count="312" uniqueCount="178">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</sst>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8" t="s">
        <v>9</v>
      </c>
      <c r="M1" s="4">
        <v>12.0</v>
      </c>
      <c r="N1" s="10"/>
      <c r="O1" s="6" t="s">
        <v>19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9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6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9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6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9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6" t="s">
        <v>54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9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6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9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6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9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6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9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9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6" t="s">
        <v>113</v>
      </c>
      <c r="P29" s="6" t="s">
        <v>114</v>
      </c>
      <c r="Q29" s="10"/>
      <c r="R29" s="6" t="s">
        <v>115</v>
      </c>
      <c r="S29" s="6" t="s">
        <v>116</v>
      </c>
      <c r="T29" s="6" t="s">
        <v>117</v>
      </c>
      <c r="U29" s="10"/>
      <c r="V29" s="6" t="s">
        <v>118</v>
      </c>
      <c r="W29" s="6" t="s">
        <v>119</v>
      </c>
      <c r="X29" s="6" t="s">
        <v>120</v>
      </c>
      <c r="Y29" s="6" t="s">
        <v>121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6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6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6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6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6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6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6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6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6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6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6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6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6" t="s">
        <v>118</v>
      </c>
      <c r="P44" s="6" t="s">
        <v>19</v>
      </c>
      <c r="Q44" s="6" t="s">
        <v>134</v>
      </c>
      <c r="R44" s="6" t="s">
        <v>114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6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6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6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6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6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6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6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6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6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6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6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6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6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6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6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6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6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6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6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6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6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6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6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6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6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6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6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6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6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6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6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6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6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6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6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6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6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6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6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6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6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7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6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6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6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6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6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6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6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6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47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6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50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6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6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51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6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6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6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6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53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6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55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6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57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6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6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6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6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6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6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66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6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67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6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61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6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6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6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56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6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59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6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71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6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6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6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6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6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6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6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60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6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70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6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6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65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6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6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6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6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6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6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6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6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6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6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6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6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6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6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6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6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6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6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6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6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6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6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6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6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6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6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6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6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6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6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6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6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6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6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6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6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6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6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6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6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6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6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6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6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6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6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6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6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6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6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6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6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6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6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6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6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6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6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6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6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6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6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6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6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6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6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6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6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6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6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6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6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6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6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6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6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6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6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6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6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6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6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6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6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6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6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6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6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6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6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6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6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6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6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6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6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6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6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6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6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6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6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6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6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6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6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6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6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6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6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6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6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6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6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6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6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6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6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6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6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6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6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6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6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6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6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6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6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6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6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6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6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6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6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6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6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6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6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6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6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6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6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6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6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6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6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6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6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6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6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6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6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6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6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6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6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6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6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6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6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6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6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6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6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6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6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6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6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6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6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6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6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6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6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6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6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6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6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6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6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6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6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6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6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6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6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6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6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6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6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6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6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6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6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6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6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6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6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6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6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6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6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6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6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6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6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6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6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6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6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6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6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6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6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6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6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6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6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6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6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6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6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6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6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6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6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6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6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6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6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6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6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6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6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6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6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6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6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6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6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6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6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6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6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6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6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6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6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6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6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6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6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6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6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6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6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6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6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6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6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6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6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6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6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6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6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6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6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6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6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6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6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6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6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6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6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6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6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6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6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6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6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6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6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6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6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6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6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6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6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6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6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6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6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6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6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6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6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6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6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6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6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6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6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6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6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6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6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6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6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6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6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6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6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6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6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6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6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6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6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6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6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6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6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6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6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6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6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6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6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6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6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6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6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6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6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6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6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6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6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6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6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6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6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6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6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6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6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6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6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6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6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6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6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6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6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6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6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6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6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6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6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6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6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6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6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6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6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6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6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6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6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6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6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6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6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6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6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6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6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6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6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6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6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6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6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6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6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6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6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6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6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6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6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6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6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6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6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6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6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6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6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6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6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6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6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6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6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6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6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6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6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6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6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6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6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6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6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6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6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6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6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6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6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6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6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6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6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6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6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6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6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6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6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6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6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6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6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6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6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6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6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6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6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6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6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6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6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6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6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6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6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6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6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6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6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6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6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6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6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6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6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6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6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6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6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6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6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6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6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6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6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6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6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6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6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6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6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6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6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6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6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6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6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6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6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6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6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6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6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6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6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6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6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6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6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6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6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6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6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6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6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6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6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6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6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6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6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6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6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6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6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6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6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6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6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6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6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6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6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6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6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6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6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6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6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6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6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6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6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6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6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6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6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6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6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6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6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6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6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6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6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6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6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6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6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6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6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6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6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6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6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6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6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6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6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6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6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6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6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6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6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6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6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6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6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6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6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6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6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6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6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6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6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6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6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6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6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6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6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6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6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6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6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6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6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6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6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6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6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6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6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6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6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6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6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6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6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6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6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6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6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6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6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6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6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6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6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6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6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6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6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6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6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6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6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6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6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6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6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6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6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6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6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6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6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6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6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6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6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6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6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6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6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6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6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6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6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6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6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6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6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6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6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6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6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6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6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6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6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6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6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6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6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6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6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6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6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6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6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6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6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6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6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6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6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6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6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6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6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6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6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6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6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6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6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6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6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6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6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6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6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6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6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6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6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6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6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6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6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6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6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6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6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6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6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6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6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6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6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6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6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6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6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6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6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6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6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6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6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6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6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6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6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6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6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6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6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6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6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6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6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6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6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6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6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6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6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6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6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6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6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6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6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6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6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6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6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6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6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6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6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6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6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6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6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6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6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6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6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6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6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6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6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6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6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6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6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6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6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6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6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6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6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6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6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6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6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6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6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6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6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6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6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6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6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6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6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6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6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6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6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6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6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6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6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6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6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6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6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6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6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6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6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6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6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6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6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6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6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6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6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6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6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6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6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6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6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6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6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6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6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6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6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6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6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6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6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6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6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6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7</v>
      </c>
      <c r="B1" s="7" t="s">
        <v>10</v>
      </c>
      <c r="C1" s="7" t="s">
        <v>11</v>
      </c>
      <c r="D1" s="7" t="s">
        <v>12</v>
      </c>
      <c r="E1" s="7" t="s">
        <v>13</v>
      </c>
      <c r="F1" s="9" t="s">
        <v>14</v>
      </c>
      <c r="G1" s="9" t="s">
        <v>15</v>
      </c>
      <c r="H1" s="9" t="s">
        <v>16</v>
      </c>
      <c r="I1" s="7" t="s">
        <v>17</v>
      </c>
      <c r="K1" s="7" t="s">
        <v>18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9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31</v>
      </c>
      <c r="L7" s="17">
        <f>SUMIF($E$2:$E$500,TRUE,$D$2:$D$500)</f>
        <v>0</v>
      </c>
    </row>
    <row r="8">
      <c r="A8" s="7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33</v>
      </c>
      <c r="L8" s="12">
        <f>L4-L7
</f>
        <v>180</v>
      </c>
    </row>
    <row r="9">
      <c r="A9" s="7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43</v>
      </c>
      <c r="L13" s="17">
        <f>SUMIF($D$2:$D$73,"",$C$2:$C$73)</f>
        <v>1200</v>
      </c>
    </row>
    <row r="14">
      <c r="A14" s="7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45</v>
      </c>
      <c r="L14" s="19">
        <f>IF(L13&gt;0,L6/L13,1)</f>
        <v>1</v>
      </c>
    </row>
    <row r="15">
      <c r="A15" s="7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48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52</v>
      </c>
      <c r="L18" s="20">
        <f>L5/L2</f>
        <v>0</v>
      </c>
    </row>
    <row r="19">
      <c r="A19" s="7">
        <v>18.0</v>
      </c>
      <c r="B19" s="11" t="s">
        <v>53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59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60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61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64</v>
      </c>
      <c r="L27" s="7">
        <v>0.8</v>
      </c>
    </row>
    <row r="28">
      <c r="A28" s="7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66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67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