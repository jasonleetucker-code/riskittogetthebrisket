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<sst xmlns="http://schemas.openxmlformats.org/spreadsheetml/2006/main" count="312" uniqueCount="178">
  <si>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</si>
  <si>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</si>
  <si>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</si>
  <si>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</si>
  <si>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</si>
  <si>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</si>
  <si>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Rank</t>
  </si>
  <si>
    <t>Fractions</t>
  </si>
  <si>
    <t>Monotone Rounded</t>
  </si>
  <si>
    <t>Final Dollar Per Pick</t>
  </si>
  <si>
    <t>PLAYER NAME</t>
  </si>
  <si>
    <t>PreDraft$</t>
  </si>
  <si>
    <t>Pick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</si>
  <si>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</si>
  <si>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</si>
  <si>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</si>
  <si>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</si>
  <si>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</si>
  <si>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</si>
  <si>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</si>
  <si>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</si>
  <si>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</si>
  <si>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</si>
  <si>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</si>
  <si>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</si>
  <si>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</si>
  <si>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</si>
  <si>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</si>
  <si>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</si>
  <si>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</si>
  <si>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</si>
  <si>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</si>
  <si>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</si>
  <si>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</si>
  <si>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</si>
  <si>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</si>
  <si>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</si>
  <si>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</si>
  <si>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</si>
  <si>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</si>
  <si>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</si>
  <si>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</si>
  <si>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</si>
  <si>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</si>
  <si>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</si>
  <si>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</si>
  <si>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</si>
  <si>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</si>
  <si>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</si>
  <si>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</si>
  <si>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</si>
  <si>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</si>
  <si>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</si>
  <si>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</si>
  <si>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</si>
  <si>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</si>
  <si>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</si>
  <si>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</si>
  <si>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</si>
  <si>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</si>
  <si>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</si>
  <si>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</si>
  <si>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</si>
  <si>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</si>
  <si>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</si>
  <si>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</si>
  <si>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</si>
  <si>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</si>
  <si>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</si>
  <si>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</si>
  <si>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</si>
  <si>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</si>
  <si>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</si>
  <si>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</si>
  <si>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</si>
  <si>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</si>
  <si>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</si>
  <si>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</si>
  <si>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</si>
  <si>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</si>
  <si>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</si>
  <si>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</si>
  <si>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</si>
  <si>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</si>
  <si>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</si>
  <si>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</si>
  <si>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</si>
  <si>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</si>
  <si>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</si>
  <si>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</si>
  <si>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</si>
  <si>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</si>
  <si>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</si>
  <si>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</si>
  <si>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</si>
  <si>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</si>
  <si>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</si>
  <si>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</si>
  <si>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</si>
  <si>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</si>
  <si>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</si>
  <si>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</si>
  <si>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</si>
  <si>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</si>
  <si>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</si>
  <si>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</si>
  <si>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</si>
  <si>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</si>
  <si>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</si>
  <si>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</si>
  <si>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Owner</t>
  </si>
  <si>
    <t>Pick #</t>
  </si>
  <si>
    <t>Garrett Nussmeier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</si>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</sst>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12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38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46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57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109</v>
      </c>
      <c r="P29" s="6" t="s">
        <v>110</v>
      </c>
      <c r="Q29" s="9"/>
      <c r="R29" s="6" t="s">
        <v>111</v>
      </c>
      <c r="S29" s="6" t="s">
        <v>113</v>
      </c>
      <c r="T29" s="6" t="s">
        <v>114</v>
      </c>
      <c r="U29" s="9"/>
      <c r="V29" s="6" t="s">
        <v>115</v>
      </c>
      <c r="W29" s="6" t="s">
        <v>116</v>
      </c>
      <c r="X29" s="6" t="s">
        <v>117</v>
      </c>
      <c r="Y29" s="6" t="s">
        <v>118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120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115</v>
      </c>
      <c r="P44" s="6" t="s">
        <v>12</v>
      </c>
      <c r="Q44" s="6" t="s">
        <v>134</v>
      </c>
      <c r="R44" s="6" t="s">
        <v>110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120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6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50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53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47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54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56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40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49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112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6</v>
      </c>
      <c r="B1" s="7" t="s">
        <v>10</v>
      </c>
      <c r="C1" s="7" t="s">
        <v>11</v>
      </c>
      <c r="D1" s="7" t="s">
        <v>13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7" t="s">
        <v>28</v>
      </c>
      <c r="L5" s="18">
        <f>SUM($D$2:$D$500)
</f>
        <v>0</v>
      </c>
    </row>
    <row r="6">
      <c r="A6" s="7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7" t="s">
        <v>30</v>
      </c>
      <c r="L6" s="18">
        <f>L2-L5
</f>
        <v>1200</v>
      </c>
    </row>
    <row r="7">
      <c r="A7" s="7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7" t="s">
        <v>32</v>
      </c>
      <c r="L7" s="18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7" t="s">
        <v>39</v>
      </c>
      <c r="L10" s="12">
        <f>IF(L3&gt;1,L9/(L3-1),0)</f>
        <v>92.72727273</v>
      </c>
    </row>
    <row r="11">
      <c r="A11" s="7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7" t="s">
        <v>41</v>
      </c>
      <c r="L11" s="19">
        <f>IF(L10&gt;0,L8/L10,1)</f>
        <v>1.941176471</v>
      </c>
    </row>
    <row r="12">
      <c r="A12" s="7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7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7" t="s">
        <v>45</v>
      </c>
      <c r="L13" s="18">
        <f>SUMIF($D$2:$D$73,"",$C$2:$C$73)</f>
        <v>1200</v>
      </c>
    </row>
    <row r="14">
      <c r="A14" s="7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7" t="s">
        <v>48</v>
      </c>
      <c r="L14" s="19">
        <f>IF(L13&gt;0,L6/L13,1)</f>
        <v>1</v>
      </c>
    </row>
    <row r="15">
      <c r="A15" s="7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7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7" t="s">
        <v>51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7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7" t="s">
        <v>55</v>
      </c>
      <c r="L18" s="20">
        <f>L5/L2</f>
        <v>0</v>
      </c>
    </row>
    <row r="19">
      <c r="A19" s="7">
        <v>18.0</v>
      </c>
      <c r="B19" s="11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7">
        <v>69.0</v>
      </c>
      <c r="B70" s="11" t="s">
        <v>112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7">
        <v>70.0</v>
      </c>
      <c r="B71" s="11" t="s">
        <v>119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7">
        <v>71.0</v>
      </c>
      <c r="B72" s="11" t="s">
        <v>121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7">
        <v>72.0</v>
      </c>
      <c r="B73" s="7" t="s">
        <v>122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