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<sst xmlns="http://schemas.openxmlformats.org/spreadsheetml/2006/main" count="312" uniqueCount="178">
  <si>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</si>
  <si>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</si>
  <si>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</si>
  <si>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VALUE</t>
  </si>
  <si>
    <t>PreDraft$</t>
  </si>
  <si>
    <t>Final Price</t>
  </si>
  <si>
    <t>Mine?</t>
  </si>
  <si>
    <t>Inflated Fair Price</t>
  </si>
  <si>
    <t>Decay</t>
  </si>
  <si>
    <t>New Values</t>
  </si>
  <si>
    <t>My Max Bid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</si>
  <si>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</si>
  <si>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</si>
  <si>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</si>
  <si>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</si>
  <si>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</si>
  <si>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</si>
  <si>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</si>
  <si>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</si>
  <si>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</si>
  <si>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</si>
  <si>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</si>
  <si>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</si>
  <si>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</si>
  <si>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</si>
  <si>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</si>
  <si>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</si>
  <si>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</si>
  <si>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</si>
  <si>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</si>
  <si>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</si>
  <si>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</si>
  <si>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</si>
  <si>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</si>
  <si>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</si>
  <si>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</si>
  <si>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</si>
  <si>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</si>
  <si>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</si>
  <si>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2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</si>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</sst>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3</v>
      </c>
      <c r="C1" s="4" t="s">
        <v>8</v>
      </c>
      <c r="D1" s="4" t="s">
        <v>9</v>
      </c>
      <c r="E1" s="4" t="s">
        <v>11</v>
      </c>
      <c r="F1" s="6">
        <v>2025.0</v>
      </c>
      <c r="G1" s="6">
        <v>2024.0</v>
      </c>
      <c r="H1" s="7">
        <v>2026.0</v>
      </c>
      <c r="I1" s="8" t="s">
        <v>16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27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39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12"/>
      <c r="N4" s="12"/>
      <c r="O4" s="8" t="s">
        <v>47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12"/>
      <c r="N5" s="12"/>
      <c r="O5" s="8" t="s">
        <v>51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12"/>
      <c r="N6" s="12"/>
      <c r="O6" s="8" t="s">
        <v>57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12"/>
      <c r="N7" s="12"/>
      <c r="O7" s="8" t="s">
        <v>64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12"/>
      <c r="N11" s="12"/>
      <c r="O11" s="12"/>
      <c r="P11" s="15"/>
      <c r="Q11" s="15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12"/>
      <c r="N12" s="12"/>
      <c r="O12" s="12"/>
      <c r="P12" s="15"/>
      <c r="Q12" s="15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12"/>
      <c r="N13" s="12"/>
      <c r="O13" s="12"/>
      <c r="P13" s="15"/>
      <c r="Q13" s="15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12"/>
      <c r="N14" s="12"/>
      <c r="O14" s="12"/>
      <c r="P14" s="15"/>
      <c r="Q14" s="15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8" t="s">
        <v>131</v>
      </c>
      <c r="U65" s="15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123</v>
      </c>
      <c r="U73" s="15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122</v>
      </c>
      <c r="U74" s="15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15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52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40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63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58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2</v>
      </c>
      <c r="C1" s="2" t="s">
        <v>4</v>
      </c>
      <c r="D1" s="2" t="s">
        <v>5</v>
      </c>
      <c r="E1" s="2" t="s">
        <v>6</v>
      </c>
      <c r="F1" s="5" t="s">
        <v>7</v>
      </c>
      <c r="G1" s="5" t="s">
        <v>10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7">
        <f>SUM($D$2:$D$500)
</f>
        <v>0</v>
      </c>
    </row>
    <row r="6">
      <c r="A6" s="2">
        <v>5.0</v>
      </c>
      <c r="B6" s="9" t="s">
        <v>29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40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9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9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9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52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9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9" t="s">
        <v>58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9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9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9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9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9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