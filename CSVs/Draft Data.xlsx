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<sst xmlns="http://schemas.openxmlformats.org/spreadsheetml/2006/main" count="312" uniqueCount="178">
  <si>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</si>
  <si>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</si>
  <si>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</si>
  <si>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</si>
  <si>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</si>
  <si>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</si>
  <si>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</si>
  <si>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</si>
  <si>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</si>
  <si>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</si>
  <si>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</si>
  <si>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</si>
  <si>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</si>
  <si>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</si>
  <si>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</si>
  <si>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</si>
  <si>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</si>
  <si>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</si>
  <si>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</si>
  <si>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</si>
  <si>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</si>
  <si>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</si>
  <si>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</si>
  <si>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</si>
  <si>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</si>
  <si>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</si>
  <si>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</si>
  <si>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</si>
  <si>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</si>
  <si>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</si>
  <si>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</si>
  <si>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</si>
  <si>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</si>
  <si>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</si>
  <si>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</si>
  <si>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</si>
  <si>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</si>
  <si>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</si>
  <si>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</si>
  <si>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</si>
  <si>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</si>
  <si>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</si>
  <si>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</si>
  <si>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</si>
  <si>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1</t>
  </si>
  <si>
    <t>Inflation Factor</t>
  </si>
  <si>
    <t>Ty Simpson</t>
  </si>
  <si>
    <t>Denzel Boston</t>
  </si>
  <si>
    <t>Aggression</t>
  </si>
  <si>
    <t>Caleb Downs</t>
  </si>
  <si>
    <t>Round 2</t>
  </si>
  <si>
    <t>Round 3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</si>
  <si>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</si>
  <si>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</si>
  <si>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</si>
  <si>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</si>
  <si>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</si>
  <si>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</si>
  <si>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</si>
  <si>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Round 4</t>
  </si>
  <si>
    <t>Chris Bell</t>
  </si>
  <si>
    <t>Germie Bernard</t>
  </si>
  <si>
    <t>Nicholas Singleton</t>
  </si>
  <si>
    <t>Mike Washington</t>
  </si>
  <si>
    <t>Enforce % of Fair</t>
  </si>
  <si>
    <t>Round 5</t>
  </si>
  <si>
    <t>Antonio Williams</t>
  </si>
  <si>
    <t>Elijah Sarratt</t>
  </si>
  <si>
    <t>Emmett Johnson</t>
  </si>
  <si>
    <t>Chris Brazzell</t>
  </si>
  <si>
    <t>Max Klare</t>
  </si>
  <si>
    <t>Round 6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</si>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</sst>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2" numFmtId="0" xfId="0" applyFont="1"/>
    <xf borderId="0" fillId="0" fontId="2" numFmtId="2" xfId="0" applyFont="1" applyNumberFormat="1"/>
    <xf borderId="0" fillId="0" fontId="4" numFmtId="1" xfId="0" applyAlignment="1" applyFont="1" applyNumberFormat="1">
      <alignment horizontal="right" vertical="bottom"/>
    </xf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9">
        <f t="shared" ref="L2:L74" si="7">D2</f>
        <v>134.5</v>
      </c>
      <c r="M2" s="12"/>
      <c r="N2" s="12"/>
      <c r="O2" s="8" t="s">
        <v>44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9">
        <f t="shared" si="7"/>
        <v>100.5</v>
      </c>
      <c r="M3" s="12"/>
      <c r="N3" s="12"/>
      <c r="O3" s="8" t="s">
        <v>50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9">
        <f t="shared" si="7"/>
        <v>93</v>
      </c>
      <c r="M4" s="12"/>
      <c r="N4" s="12"/>
      <c r="O4" s="8" t="s">
        <v>51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9">
        <f t="shared" si="7"/>
        <v>80.5</v>
      </c>
      <c r="M5" s="12"/>
      <c r="N5" s="12"/>
      <c r="O5" s="8" t="s">
        <v>59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9">
        <f t="shared" si="7"/>
        <v>75.5</v>
      </c>
      <c r="M6" s="12"/>
      <c r="N6" s="12"/>
      <c r="O6" s="8" t="s">
        <v>65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9">
        <f t="shared" si="7"/>
        <v>68.5</v>
      </c>
      <c r="M7" s="12"/>
      <c r="N7" s="12"/>
      <c r="O7" s="8" t="s">
        <v>71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9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9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9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9">
        <f t="shared" si="7"/>
        <v>44.5</v>
      </c>
      <c r="M11" s="12"/>
      <c r="N11" s="12"/>
      <c r="O11" s="12"/>
      <c r="P11" s="15"/>
      <c r="Q11" s="15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9">
        <f t="shared" si="7"/>
        <v>41</v>
      </c>
      <c r="M12" s="12"/>
      <c r="N12" s="12"/>
      <c r="O12" s="12"/>
      <c r="P12" s="15"/>
      <c r="Q12" s="15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9">
        <f t="shared" si="7"/>
        <v>35.5</v>
      </c>
      <c r="M13" s="12"/>
      <c r="N13" s="12"/>
      <c r="O13" s="12"/>
      <c r="P13" s="15"/>
      <c r="Q13" s="15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9">
        <f t="shared" si="7"/>
        <v>29.5</v>
      </c>
      <c r="M14" s="12"/>
      <c r="N14" s="12"/>
      <c r="O14" s="12"/>
      <c r="P14" s="15"/>
      <c r="Q14" s="15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9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9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9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9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9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9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9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9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9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9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9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9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9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9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9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9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9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9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9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9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9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9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9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9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9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9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9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9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9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9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9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9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9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9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9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9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9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9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9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9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9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9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9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9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9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9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9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9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9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9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9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8" t="s">
        <v>131</v>
      </c>
      <c r="U65" s="15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9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9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9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9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9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126</v>
      </c>
      <c r="U70" s="15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9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125</v>
      </c>
      <c r="U71" s="15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9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124</v>
      </c>
      <c r="U72" s="15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9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123</v>
      </c>
      <c r="U73" s="15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9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122</v>
      </c>
      <c r="U74" s="15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32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47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49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43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34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54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55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57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36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38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46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67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68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62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56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60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61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70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66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9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33</v>
      </c>
      <c r="L8" s="10">
        <f>L4-L7
</f>
        <v>180</v>
      </c>
    </row>
    <row r="9">
      <c r="A9" s="2">
        <v>8.0</v>
      </c>
      <c r="B9" s="9" t="s">
        <v>34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35</v>
      </c>
      <c r="L9" s="10">
        <f>L6-L8
</f>
        <v>1020</v>
      </c>
    </row>
    <row r="10">
      <c r="A10" s="2">
        <v>9.0</v>
      </c>
      <c r="B10" s="9" t="s">
        <v>36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37</v>
      </c>
      <c r="L10" s="10">
        <f>IF(L3&gt;1,L9/(L3-1),0)</f>
        <v>92.72727273</v>
      </c>
    </row>
    <row r="11">
      <c r="A11" s="2">
        <v>10.0</v>
      </c>
      <c r="B11" s="9" t="s">
        <v>38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39</v>
      </c>
      <c r="L11" s="18">
        <f>IF(L10&gt;0,L8/L10,1)</f>
        <v>1.941176471</v>
      </c>
    </row>
    <row r="12">
      <c r="A12" s="2">
        <v>11.0</v>
      </c>
      <c r="B12" s="9" t="s">
        <v>40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9" t="s">
        <v>41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42</v>
      </c>
      <c r="L13" s="17">
        <f>SUMIF($D$2:$D$73,"",$C$2:$C$73)</f>
        <v>1200</v>
      </c>
    </row>
    <row r="14">
      <c r="A14" s="2">
        <v>13.0</v>
      </c>
      <c r="B14" s="9" t="s">
        <v>43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45</v>
      </c>
      <c r="L14" s="18">
        <f>IF(L13&gt;0,L6/L13,1)</f>
        <v>1</v>
      </c>
    </row>
    <row r="15">
      <c r="A15" s="2">
        <v>14.0</v>
      </c>
      <c r="B15" s="9" t="s">
        <v>46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9" t="s">
        <v>47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48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49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9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9" t="s">
        <v>54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9" t="s">
        <v>55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9" t="s">
        <v>56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9" t="s">
        <v>57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9" t="s">
        <v>58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9" t="s">
        <v>60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9" t="s">
        <v>61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9" t="s">
        <v>62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9" t="s">
        <v>63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64</v>
      </c>
      <c r="L27" s="2">
        <v>0.8</v>
      </c>
    </row>
    <row r="28">
      <c r="A28" s="2">
        <v>27.0</v>
      </c>
      <c r="B28" s="9" t="s">
        <v>66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9" t="s">
        <v>67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9" t="s">
        <v>68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9" t="s">
        <v>69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9" t="s">
        <v>70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