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<sst xmlns="http://schemas.openxmlformats.org/spreadsheetml/2006/main" count="312" uniqueCount="178">
  <si>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</si>
  <si>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</si>
  <si>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</si>
  <si>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</si>
  <si>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</si>
  <si>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</si>
  <si>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</si>
  <si>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</si>
  <si>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</si>
  <si>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</si>
  <si>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</si>
  <si>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</si>
  <si>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</si>
  <si>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</si>
  <si>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</si>
  <si>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</si>
  <si>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</si>
  <si>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</si>
  <si>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</si>
  <si>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</si>
  <si>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</si>
  <si>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</si>
  <si>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Round 2</t>
  </si>
  <si>
    <t>Total Auction $</t>
  </si>
  <si>
    <t>Carnell Tate</t>
  </si>
  <si>
    <t>Round 3</t>
  </si>
  <si>
    <t># of Teams</t>
  </si>
  <si>
    <t>Fernando Mendoza</t>
  </si>
  <si>
    <t>My Starting $</t>
  </si>
  <si>
    <t>Round 4</t>
  </si>
  <si>
    <t>Jordyn Tyson</t>
  </si>
  <si>
    <t>Total Spent $</t>
  </si>
  <si>
    <t>Makai Lemon</t>
  </si>
  <si>
    <t>Remaining Leage $</t>
  </si>
  <si>
    <t>Kenyon Sadiq</t>
  </si>
  <si>
    <t>Round 5</t>
  </si>
  <si>
    <t>My Spent</t>
  </si>
  <si>
    <t>Sonny Styles</t>
  </si>
  <si>
    <t>My Remaining</t>
  </si>
  <si>
    <t>KC Concepcion</t>
  </si>
  <si>
    <t>Round 6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</si>
  <si>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</si>
  <si>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</si>
  <si>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</si>
  <si>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</si>
  <si>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</si>
  <si>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</si>
  <si>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</si>
  <si>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</si>
  <si>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</si>
  <si>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</si>
  <si>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</si>
  <si>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</si>
  <si>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</si>
  <si>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</si>
  <si>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</si>
  <si>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</si>
  <si>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</si>
  <si>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</si>
  <si>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</si>
  <si>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</si>
  <si>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</si>
  <si>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</si>
  <si>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</si>
  <si>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</si>
  <si>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</si>
  <si>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</si>
  <si>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</si>
  <si>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</si>
  <si>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League Spent %</t>
  </si>
  <si>
    <t>Ty</t>
  </si>
  <si>
    <t>Jacob Rodriguez</t>
  </si>
  <si>
    <t>Jonah Coleman</t>
  </si>
  <si>
    <t>Kich</t>
  </si>
  <si>
    <t>Jake Golday</t>
  </si>
  <si>
    <t>Dillon Thieneman</t>
  </si>
  <si>
    <t>Eric</t>
  </si>
  <si>
    <t>Rueben Bain</t>
  </si>
  <si>
    <t>Chris Bell</t>
  </si>
  <si>
    <t>Collin</t>
  </si>
  <si>
    <t>Germie Bernard</t>
  </si>
  <si>
    <t>Nicholas Singleton</t>
  </si>
  <si>
    <t>Roy</t>
  </si>
  <si>
    <t>Mike Washington</t>
  </si>
  <si>
    <t>Enforce % of Fair</t>
  </si>
  <si>
    <t>Antonio Williams</t>
  </si>
  <si>
    <t>Elijah Sarratt</t>
  </si>
  <si>
    <t>Jason</t>
  </si>
  <si>
    <t>Emmett Johnson</t>
  </si>
  <si>
    <t>Chris Brazzell</t>
  </si>
  <si>
    <t>Blaine</t>
  </si>
  <si>
    <t>Max Klare</t>
  </si>
  <si>
    <t>Zachariah Branch</t>
  </si>
  <si>
    <t>Joel</t>
  </si>
  <si>
    <t>De'Zhaun Stribling</t>
  </si>
  <si>
    <t>Malachi Fields</t>
  </si>
  <si>
    <t>Kaytron Allen</t>
  </si>
  <si>
    <t>Value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</si>
  <si>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</si>
  <si>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</si>
  <si>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</si>
  <si>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</si>
  <si>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</si>
  <si>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</si>
  <si>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</si>
  <si>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</si>
  <si>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</si>
  <si>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</si>
  <si>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</si>
  <si>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</si>
  <si>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</si>
  <si>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</si>
  <si>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</si>
  <si>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</si>
  <si>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</si>
  <si>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</si>
  <si>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</si>
  <si>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Team</t>
  </si>
  <si>
    <t>Auction$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</si>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</sst>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165" xfId="0" applyFont="1" applyNumberFormat="1"/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6">
        <f t="shared" ref="L2:L74" si="7">D2</f>
        <v>134.5</v>
      </c>
      <c r="M2" s="8"/>
      <c r="N2" s="8"/>
      <c r="O2" s="6" t="s">
        <v>21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8"/>
      <c r="N3" s="8"/>
      <c r="O3" s="6" t="s">
        <v>22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6">
        <f t="shared" si="7"/>
        <v>93</v>
      </c>
      <c r="M4" s="8"/>
      <c r="N4" s="8"/>
      <c r="O4" s="6" t="s">
        <v>25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6">
        <f t="shared" si="7"/>
        <v>80.5</v>
      </c>
      <c r="M5" s="8"/>
      <c r="N5" s="8"/>
      <c r="O5" s="6" t="s">
        <v>29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6">
        <f t="shared" si="7"/>
        <v>75.5</v>
      </c>
      <c r="M6" s="8"/>
      <c r="N6" s="8"/>
      <c r="O6" s="6" t="s">
        <v>35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6">
        <f t="shared" si="7"/>
        <v>68.5</v>
      </c>
      <c r="M7" s="8"/>
      <c r="N7" s="8"/>
      <c r="O7" s="6" t="s">
        <v>40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6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6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6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6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6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6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6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6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6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6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6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6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6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6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6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6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6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6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6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6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6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6">
        <f t="shared" si="7"/>
        <v>7</v>
      </c>
      <c r="M29" s="8"/>
      <c r="N29" s="8"/>
      <c r="O29" s="6" t="s">
        <v>56</v>
      </c>
      <c r="P29" s="6" t="s">
        <v>57</v>
      </c>
      <c r="Q29" s="8"/>
      <c r="R29" s="6" t="s">
        <v>58</v>
      </c>
      <c r="S29" s="6" t="s">
        <v>59</v>
      </c>
      <c r="T29" s="6" t="s">
        <v>60</v>
      </c>
      <c r="U29" s="8"/>
      <c r="V29" s="6" t="s">
        <v>61</v>
      </c>
      <c r="W29" s="6" t="s">
        <v>62</v>
      </c>
      <c r="X29" s="6" t="s">
        <v>63</v>
      </c>
      <c r="Y29" s="6" t="s">
        <v>64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6">
        <f t="shared" si="7"/>
        <v>6.5</v>
      </c>
      <c r="M30" s="8"/>
      <c r="N30" s="8"/>
      <c r="O30" s="4">
        <v>1.0</v>
      </c>
      <c r="P30" s="6" t="s">
        <v>65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0"/>
      <c r="W30" s="20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6">
        <f t="shared" si="7"/>
        <v>6.5</v>
      </c>
      <c r="M31" s="8"/>
      <c r="N31" s="8"/>
      <c r="O31" s="4">
        <v>2.0</v>
      </c>
      <c r="P31" s="6" t="s">
        <v>66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6">
        <f t="shared" si="7"/>
        <v>5.5</v>
      </c>
      <c r="M32" s="8"/>
      <c r="N32" s="8"/>
      <c r="O32" s="4">
        <v>3.0</v>
      </c>
      <c r="P32" s="6" t="s">
        <v>67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6">
        <f t="shared" si="7"/>
        <v>5.5</v>
      </c>
      <c r="M33" s="8"/>
      <c r="N33" s="8"/>
      <c r="O33" s="4">
        <v>4.0</v>
      </c>
      <c r="P33" s="6" t="s">
        <v>68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6">
        <f t="shared" si="7"/>
        <v>4.5</v>
      </c>
      <c r="M34" s="8"/>
      <c r="N34" s="8"/>
      <c r="O34" s="4">
        <v>5.0</v>
      </c>
      <c r="P34" s="6" t="s">
        <v>70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6">
        <f t="shared" si="7"/>
        <v>4.5</v>
      </c>
      <c r="M35" s="8"/>
      <c r="N35" s="8"/>
      <c r="O35" s="4">
        <v>6.0</v>
      </c>
      <c r="P35" s="6" t="s">
        <v>73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6">
        <f t="shared" si="7"/>
        <v>4.5</v>
      </c>
      <c r="M36" s="8"/>
      <c r="N36" s="8"/>
      <c r="O36" s="4">
        <v>7.0</v>
      </c>
      <c r="P36" s="6" t="s">
        <v>76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6">
        <f t="shared" si="7"/>
        <v>4</v>
      </c>
      <c r="M37" s="8"/>
      <c r="N37" s="8"/>
      <c r="O37" s="4">
        <v>8.0</v>
      </c>
      <c r="P37" s="6" t="s">
        <v>79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6">
        <f t="shared" si="7"/>
        <v>3.5</v>
      </c>
      <c r="M38" s="8"/>
      <c r="N38" s="8"/>
      <c r="O38" s="4">
        <v>9.0</v>
      </c>
      <c r="P38" s="6" t="s">
        <v>82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6">
        <f t="shared" si="7"/>
        <v>3.5</v>
      </c>
      <c r="M39" s="8"/>
      <c r="N39" s="8"/>
      <c r="O39" s="4">
        <v>10.0</v>
      </c>
      <c r="P39" s="6" t="s">
        <v>87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6">
        <f t="shared" si="7"/>
        <v>3</v>
      </c>
      <c r="M40" s="8"/>
      <c r="N40" s="8"/>
      <c r="O40" s="4">
        <v>11.0</v>
      </c>
      <c r="P40" s="6" t="s">
        <v>90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6">
        <f t="shared" si="7"/>
        <v>3</v>
      </c>
      <c r="M41" s="8"/>
      <c r="N41" s="8"/>
      <c r="O41" s="4">
        <v>12.0</v>
      </c>
      <c r="P41" s="6" t="s">
        <v>93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0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6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6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6">
        <f t="shared" si="7"/>
        <v>2.5</v>
      </c>
      <c r="M44" s="8"/>
      <c r="N44" s="8"/>
      <c r="O44" s="6" t="s">
        <v>61</v>
      </c>
      <c r="P44" s="6" t="s">
        <v>9</v>
      </c>
      <c r="Q44" s="6" t="s">
        <v>97</v>
      </c>
      <c r="R44" s="6" t="s">
        <v>57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6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6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6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6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6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6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6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6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6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6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6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6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6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6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0"/>
      <c r="W58" s="20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6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0"/>
      <c r="W59" s="20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6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0"/>
      <c r="W60" s="20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6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6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117</v>
      </c>
      <c r="U62" s="8" t="s">
        <v>118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6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93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6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90</v>
      </c>
      <c r="U64" s="15">
        <f t="shared" si="22"/>
        <v>144.5</v>
      </c>
      <c r="V64" s="20"/>
      <c r="W64" s="20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6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87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6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82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6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79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6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76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0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6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73</v>
      </c>
      <c r="U69" s="15">
        <f t="shared" si="22"/>
        <v>83</v>
      </c>
      <c r="V69" s="20"/>
      <c r="W69" s="20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6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70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6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68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0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6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67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6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66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6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65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24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27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32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30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37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34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49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39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71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72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75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105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42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44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51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86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88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81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74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78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92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95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112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103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125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80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91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99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85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96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128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133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109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131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101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124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108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98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119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116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123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107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122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23</v>
      </c>
      <c r="L2" s="9">
        <v>1200.0</v>
      </c>
    </row>
    <row r="3">
      <c r="A3" s="9">
        <v>2.0</v>
      </c>
      <c r="B3" s="11" t="s">
        <v>24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9" t="s">
        <v>26</v>
      </c>
      <c r="L3" s="9">
        <v>12.0</v>
      </c>
    </row>
    <row r="4">
      <c r="A4" s="9">
        <v>3.0</v>
      </c>
      <c r="B4" s="11" t="s">
        <v>27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7" t="str">
        <f t="shared" si="4"/>
        <v/>
      </c>
      <c r="K4" s="9" t="s">
        <v>28</v>
      </c>
      <c r="L4" s="10">
        <f>'Draft Data'!U63</f>
        <v>180</v>
      </c>
    </row>
    <row r="5">
      <c r="A5" s="9">
        <v>4.0</v>
      </c>
      <c r="B5" s="11" t="s">
        <v>30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7" t="str">
        <f t="shared" si="4"/>
        <v/>
      </c>
      <c r="K5" s="9" t="s">
        <v>31</v>
      </c>
      <c r="L5" s="18">
        <f>SUM($D$2:$D$500)
</f>
        <v>0</v>
      </c>
    </row>
    <row r="6">
      <c r="A6" s="9">
        <v>5.0</v>
      </c>
      <c r="B6" s="11" t="s">
        <v>32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7" t="str">
        <f t="shared" si="4"/>
        <v/>
      </c>
      <c r="K6" s="9" t="s">
        <v>33</v>
      </c>
      <c r="L6" s="18">
        <f>L2-L5
</f>
        <v>1200</v>
      </c>
    </row>
    <row r="7">
      <c r="A7" s="9">
        <v>6.0</v>
      </c>
      <c r="B7" s="11" t="s">
        <v>34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7" t="str">
        <f t="shared" si="4"/>
        <v/>
      </c>
      <c r="K7" s="9" t="s">
        <v>36</v>
      </c>
      <c r="L7" s="18">
        <f>SUMIF($E$2:$E$500,TRUE,$D$2:$D$500)</f>
        <v>0</v>
      </c>
    </row>
    <row r="8">
      <c r="A8" s="9">
        <v>7.0</v>
      </c>
      <c r="B8" s="11" t="s">
        <v>37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7" t="str">
        <f t="shared" si="4"/>
        <v/>
      </c>
      <c r="K8" s="9" t="s">
        <v>38</v>
      </c>
      <c r="L8" s="12">
        <f>L4-L7
</f>
        <v>180</v>
      </c>
    </row>
    <row r="9">
      <c r="A9" s="9">
        <v>8.0</v>
      </c>
      <c r="B9" s="11" t="s">
        <v>39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7" t="str">
        <f t="shared" si="4"/>
        <v/>
      </c>
      <c r="K9" s="9" t="s">
        <v>41</v>
      </c>
      <c r="L9" s="12">
        <f>L6-L8
</f>
        <v>1020</v>
      </c>
    </row>
    <row r="10">
      <c r="A10" s="9">
        <v>9.0</v>
      </c>
      <c r="B10" s="11" t="s">
        <v>42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7" t="str">
        <f t="shared" si="4"/>
        <v/>
      </c>
      <c r="K10" s="9" t="s">
        <v>43</v>
      </c>
      <c r="L10" s="12">
        <f>IF(L3&gt;1,L9/(L3-1),0)</f>
        <v>92.72727273</v>
      </c>
    </row>
    <row r="11">
      <c r="A11" s="9">
        <v>10.0</v>
      </c>
      <c r="B11" s="11" t="s">
        <v>44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7" t="str">
        <f t="shared" si="4"/>
        <v/>
      </c>
      <c r="K11" s="9" t="s">
        <v>45</v>
      </c>
      <c r="L11" s="19">
        <f>IF(L10&gt;0,L8/L10,1)</f>
        <v>1.941176471</v>
      </c>
    </row>
    <row r="12">
      <c r="A12" s="9">
        <v>11.0</v>
      </c>
      <c r="B12" s="11" t="s">
        <v>46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7" t="str">
        <f t="shared" si="4"/>
        <v/>
      </c>
    </row>
    <row r="13">
      <c r="A13" s="9">
        <v>12.0</v>
      </c>
      <c r="B13" s="11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7" t="str">
        <f t="shared" si="4"/>
        <v/>
      </c>
      <c r="K13" s="9" t="s">
        <v>48</v>
      </c>
      <c r="L13" s="18">
        <f>SUMIF($D$2:$D$73,"",$C$2:$C$73)</f>
        <v>1200</v>
      </c>
    </row>
    <row r="14">
      <c r="A14" s="9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7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7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7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7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7" t="str">
        <f t="shared" si="4"/>
        <v/>
      </c>
      <c r="K18" s="9" t="s">
        <v>69</v>
      </c>
      <c r="L18" s="21">
        <f>L5/L2</f>
        <v>0</v>
      </c>
    </row>
    <row r="19">
      <c r="A19" s="9">
        <v>18.0</v>
      </c>
      <c r="B19" s="11" t="s">
        <v>71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7" t="str">
        <f t="shared" si="4"/>
        <v/>
      </c>
    </row>
    <row r="20">
      <c r="A20" s="9">
        <v>19.0</v>
      </c>
      <c r="B20" s="11" t="s">
        <v>72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7" t="str">
        <f t="shared" si="4"/>
        <v/>
      </c>
    </row>
    <row r="21">
      <c r="A21" s="9">
        <v>20.0</v>
      </c>
      <c r="B21" s="11" t="s">
        <v>74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7" t="str">
        <f t="shared" si="4"/>
        <v/>
      </c>
    </row>
    <row r="22">
      <c r="A22" s="9">
        <v>21.0</v>
      </c>
      <c r="B22" s="11" t="s">
        <v>75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7" t="str">
        <f t="shared" si="4"/>
        <v/>
      </c>
    </row>
    <row r="23">
      <c r="A23" s="9">
        <v>22.0</v>
      </c>
      <c r="B23" s="11" t="s">
        <v>77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7" t="str">
        <f t="shared" si="4"/>
        <v/>
      </c>
    </row>
    <row r="24">
      <c r="A24" s="9">
        <v>23.0</v>
      </c>
      <c r="B24" s="11" t="s">
        <v>78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7" t="str">
        <f t="shared" si="4"/>
        <v/>
      </c>
    </row>
    <row r="25">
      <c r="A25" s="9">
        <v>24.0</v>
      </c>
      <c r="B25" s="11" t="s">
        <v>80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7" t="str">
        <f t="shared" si="4"/>
        <v/>
      </c>
    </row>
    <row r="26">
      <c r="A26" s="9">
        <v>25.0</v>
      </c>
      <c r="B26" s="11" t="s">
        <v>81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7" t="str">
        <f t="shared" si="4"/>
        <v/>
      </c>
    </row>
    <row r="27">
      <c r="A27" s="9">
        <v>26.0</v>
      </c>
      <c r="B27" s="11" t="s">
        <v>83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7" t="str">
        <f t="shared" si="4"/>
        <v/>
      </c>
      <c r="K27" s="9" t="s">
        <v>84</v>
      </c>
      <c r="L27" s="9">
        <v>0.8</v>
      </c>
    </row>
    <row r="28">
      <c r="A28" s="9">
        <v>27.0</v>
      </c>
      <c r="B28" s="11" t="s">
        <v>85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7" t="str">
        <f t="shared" si="4"/>
        <v/>
      </c>
    </row>
    <row r="29">
      <c r="A29" s="9">
        <v>28.0</v>
      </c>
      <c r="B29" s="11" t="s">
        <v>86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7" t="str">
        <f t="shared" si="4"/>
        <v/>
      </c>
    </row>
    <row r="30">
      <c r="A30" s="9">
        <v>29.0</v>
      </c>
      <c r="B30" s="11" t="s">
        <v>88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7" t="str">
        <f t="shared" si="4"/>
        <v/>
      </c>
    </row>
    <row r="31">
      <c r="A31" s="9">
        <v>30.0</v>
      </c>
      <c r="B31" s="11" t="s">
        <v>89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7" t="str">
        <f t="shared" si="4"/>
        <v/>
      </c>
    </row>
    <row r="32">
      <c r="A32" s="9">
        <v>31.0</v>
      </c>
      <c r="B32" s="11" t="s">
        <v>91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7" t="str">
        <f t="shared" si="4"/>
        <v/>
      </c>
    </row>
    <row r="33">
      <c r="A33" s="9">
        <v>32.0</v>
      </c>
      <c r="B33" s="11" t="s">
        <v>92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7" t="str">
        <f t="shared" si="4"/>
        <v/>
      </c>
    </row>
    <row r="34">
      <c r="A34" s="9">
        <v>33.0</v>
      </c>
      <c r="B34" s="11" t="s">
        <v>94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7" t="str">
        <f t="shared" si="4"/>
        <v/>
      </c>
    </row>
    <row r="35">
      <c r="A35" s="9">
        <v>34.0</v>
      </c>
      <c r="B35" s="11" t="s">
        <v>95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7" t="str">
        <f t="shared" si="4"/>
        <v/>
      </c>
    </row>
    <row r="36">
      <c r="A36" s="9">
        <v>35.0</v>
      </c>
      <c r="B36" s="11" t="s">
        <v>96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7" t="str">
        <f t="shared" si="4"/>
        <v/>
      </c>
    </row>
    <row r="37">
      <c r="A37" s="9">
        <v>36.0</v>
      </c>
      <c r="B37" s="11" t="s">
        <v>98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7" t="str">
        <f t="shared" si="4"/>
        <v/>
      </c>
    </row>
    <row r="38">
      <c r="A38" s="9">
        <v>37.0</v>
      </c>
      <c r="B38" s="11" t="s">
        <v>99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7" t="str">
        <f t="shared" si="4"/>
        <v/>
      </c>
    </row>
    <row r="39">
      <c r="A39" s="9">
        <v>38.0</v>
      </c>
      <c r="B39" s="11" t="s">
        <v>100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7" t="str">
        <f t="shared" si="4"/>
        <v/>
      </c>
    </row>
    <row r="40">
      <c r="A40" s="9">
        <v>39.0</v>
      </c>
      <c r="B40" s="11" t="s">
        <v>101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7" t="str">
        <f t="shared" si="4"/>
        <v/>
      </c>
    </row>
    <row r="41">
      <c r="A41" s="9">
        <v>40.0</v>
      </c>
      <c r="B41" s="11" t="s">
        <v>102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7" t="str">
        <f t="shared" si="4"/>
        <v/>
      </c>
    </row>
    <row r="42">
      <c r="A42" s="9">
        <v>41.0</v>
      </c>
      <c r="B42" s="11" t="s">
        <v>103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7" t="str">
        <f t="shared" si="4"/>
        <v/>
      </c>
    </row>
    <row r="43">
      <c r="A43" s="9">
        <v>42.0</v>
      </c>
      <c r="B43" s="11" t="s">
        <v>104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7" t="str">
        <f t="shared" si="4"/>
        <v/>
      </c>
    </row>
    <row r="44">
      <c r="A44" s="9">
        <v>43.0</v>
      </c>
      <c r="B44" s="11" t="s">
        <v>105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7" t="str">
        <f t="shared" si="4"/>
        <v/>
      </c>
    </row>
    <row r="45">
      <c r="A45" s="9">
        <v>44.0</v>
      </c>
      <c r="B45" s="11" t="s">
        <v>106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7" t="str">
        <f t="shared" si="4"/>
        <v/>
      </c>
    </row>
    <row r="46">
      <c r="A46" s="9">
        <v>45.0</v>
      </c>
      <c r="B46" s="11" t="s">
        <v>107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7" t="str">
        <f t="shared" si="4"/>
        <v/>
      </c>
    </row>
    <row r="47">
      <c r="A47" s="9">
        <v>46.0</v>
      </c>
      <c r="B47" s="11" t="s">
        <v>108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7" t="str">
        <f t="shared" si="4"/>
        <v/>
      </c>
    </row>
    <row r="48">
      <c r="A48" s="9">
        <v>47.0</v>
      </c>
      <c r="B48" s="11" t="s">
        <v>109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7" t="str">
        <f t="shared" si="4"/>
        <v/>
      </c>
    </row>
    <row r="49">
      <c r="A49" s="9">
        <v>48.0</v>
      </c>
      <c r="B49" s="11" t="s">
        <v>110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7" t="str">
        <f t="shared" si="4"/>
        <v/>
      </c>
    </row>
    <row r="50">
      <c r="A50" s="9">
        <v>49.0</v>
      </c>
      <c r="B50" s="11" t="s">
        <v>111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7" t="str">
        <f t="shared" si="4"/>
        <v/>
      </c>
    </row>
    <row r="51">
      <c r="A51" s="9">
        <v>50.0</v>
      </c>
      <c r="B51" s="11" t="s">
        <v>112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7" t="str">
        <f t="shared" si="4"/>
        <v/>
      </c>
    </row>
    <row r="52">
      <c r="A52" s="9">
        <v>51.0</v>
      </c>
      <c r="B52" s="11" t="s">
        <v>113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7" t="str">
        <f t="shared" si="4"/>
        <v/>
      </c>
    </row>
    <row r="53">
      <c r="A53" s="9">
        <v>52.0</v>
      </c>
      <c r="B53" s="11" t="s">
        <v>114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7" t="str">
        <f t="shared" si="4"/>
        <v/>
      </c>
    </row>
    <row r="54">
      <c r="A54" s="9">
        <v>53.0</v>
      </c>
      <c r="B54" s="11" t="s">
        <v>115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7" t="str">
        <f t="shared" si="4"/>
        <v/>
      </c>
    </row>
    <row r="55">
      <c r="A55" s="9">
        <v>54.0</v>
      </c>
      <c r="B55" s="11" t="s">
        <v>116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7" t="str">
        <f t="shared" si="4"/>
        <v/>
      </c>
    </row>
    <row r="56">
      <c r="A56" s="9">
        <v>55.0</v>
      </c>
      <c r="B56" s="11" t="s">
        <v>119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7" t="str">
        <f t="shared" si="4"/>
        <v/>
      </c>
    </row>
    <row r="57">
      <c r="A57" s="9">
        <v>56.0</v>
      </c>
      <c r="B57" s="11" t="s">
        <v>120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7" t="str">
        <f t="shared" si="4"/>
        <v/>
      </c>
    </row>
    <row r="58">
      <c r="A58" s="9">
        <v>57.0</v>
      </c>
      <c r="B58" s="11" t="s">
        <v>121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7" t="str">
        <f t="shared" si="4"/>
        <v/>
      </c>
    </row>
    <row r="59">
      <c r="A59" s="9">
        <v>58.0</v>
      </c>
      <c r="B59" s="11" t="s">
        <v>122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7" t="str">
        <f t="shared" si="4"/>
        <v/>
      </c>
    </row>
    <row r="60">
      <c r="A60" s="9">
        <v>59.0</v>
      </c>
      <c r="B60" s="11" t="s">
        <v>123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7" t="str">
        <f t="shared" si="4"/>
        <v/>
      </c>
    </row>
    <row r="61">
      <c r="A61" s="9">
        <v>60.0</v>
      </c>
      <c r="B61" s="11" t="s">
        <v>124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7" t="str">
        <f t="shared" si="4"/>
        <v/>
      </c>
    </row>
    <row r="62">
      <c r="A62" s="9">
        <v>61.0</v>
      </c>
      <c r="B62" s="11" t="s">
        <v>125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7" t="str">
        <f t="shared" si="4"/>
        <v/>
      </c>
    </row>
    <row r="63">
      <c r="A63" s="9">
        <v>62.0</v>
      </c>
      <c r="B63" s="11" t="s">
        <v>126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7" t="str">
        <f t="shared" si="4"/>
        <v/>
      </c>
    </row>
    <row r="64">
      <c r="A64" s="9">
        <v>63.0</v>
      </c>
      <c r="B64" s="11" t="s">
        <v>127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7" t="str">
        <f t="shared" si="4"/>
        <v/>
      </c>
    </row>
    <row r="65">
      <c r="A65" s="9">
        <v>64.0</v>
      </c>
      <c r="B65" s="11" t="s">
        <v>128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7" t="str">
        <f t="shared" si="4"/>
        <v/>
      </c>
    </row>
    <row r="66">
      <c r="A66" s="9">
        <v>65.0</v>
      </c>
      <c r="B66" s="11" t="s">
        <v>129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7" t="str">
        <f t="shared" si="4"/>
        <v/>
      </c>
    </row>
    <row r="67">
      <c r="A67" s="9">
        <v>66.0</v>
      </c>
      <c r="B67" s="11" t="s">
        <v>130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7" t="str">
        <f t="shared" si="4"/>
        <v/>
      </c>
    </row>
    <row r="68">
      <c r="A68" s="9">
        <v>67.0</v>
      </c>
      <c r="B68" s="11" t="s">
        <v>131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7" t="str">
        <f t="shared" si="4"/>
        <v/>
      </c>
    </row>
    <row r="69">
      <c r="A69" s="9">
        <v>68.0</v>
      </c>
      <c r="B69" s="11" t="s">
        <v>132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7" t="str">
        <f t="shared" si="4"/>
        <v/>
      </c>
    </row>
    <row r="70">
      <c r="A70" s="9">
        <v>69.0</v>
      </c>
      <c r="B70" s="11" t="s">
        <v>133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7" t="str">
        <f t="shared" si="4"/>
        <v/>
      </c>
    </row>
    <row r="71">
      <c r="A71" s="9">
        <v>70.0</v>
      </c>
      <c r="B71" s="11" t="s">
        <v>134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7" t="str">
        <f t="shared" si="4"/>
        <v/>
      </c>
    </row>
    <row r="72">
      <c r="A72" s="9">
        <v>71.0</v>
      </c>
      <c r="B72" s="11" t="s">
        <v>135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7" t="str">
        <f t="shared" si="4"/>
        <v/>
      </c>
    </row>
    <row r="73">
      <c r="A73" s="9">
        <v>72.0</v>
      </c>
      <c r="B73" s="9" t="s">
        <v>136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7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