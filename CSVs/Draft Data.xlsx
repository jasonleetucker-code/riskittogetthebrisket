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<sst xmlns="http://schemas.openxmlformats.org/spreadsheetml/2006/main" count="312" uniqueCount="178">
  <si>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</si>
  <si>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</si>
  <si>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</si>
  <si>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</si>
  <si>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</si>
  <si>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</si>
  <si>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</si>
  <si>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</si>
  <si>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</si>
  <si>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</si>
  <si>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</si>
  <si>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</si>
  <si>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</si>
  <si>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</si>
  <si>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</si>
  <si>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</si>
  <si>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</si>
  <si>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</si>
  <si>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</si>
  <si>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</si>
  <si>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</si>
  <si>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</si>
  <si>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</si>
  <si>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</si>
  <si>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</si>
  <si>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</si>
  <si>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</si>
  <si>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</si>
  <si>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</si>
  <si>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</si>
  <si>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</si>
  <si>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</si>
  <si>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</si>
  <si>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</si>
  <si>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</si>
  <si>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</si>
  <si>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</si>
  <si>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</si>
  <si>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</si>
  <si>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</si>
  <si>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</si>
  <si>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</si>
  <si>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</si>
  <si>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</si>
  <si>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</si>
  <si>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</si>
  <si>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</si>
  <si>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</si>
  <si>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</si>
  <si>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</si>
  <si>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</si>
  <si>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</si>
  <si>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</si>
  <si>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</si>
  <si>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</si>
  <si>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</si>
  <si>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</si>
  <si>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</si>
  <si>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</si>
  <si>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</si>
  <si>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</si>
  <si>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</si>
  <si>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</si>
  <si>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</si>
  <si>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</si>
  <si>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</si>
  <si>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</si>
  <si>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</si>
  <si>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</si>
  <si>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</si>
  <si>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</si>
  <si>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</si>
  <si>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</si>
  <si>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</si>
  <si>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</si>
  <si>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</si>
  <si>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</si>
  <si>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</si>
  <si>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</si>
  <si>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</si>
  <si>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</si>
  <si>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</si>
  <si>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</si>
  <si>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</si>
  <si>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</si>
  <si>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</si>
  <si>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</si>
  <si>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</si>
  <si>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</si>
  <si>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</si>
  <si>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</si>
  <si>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</si>
  <si>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</si>
  <si>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</si>
  <si>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</si>
  <si>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</si>
  <si>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</si>
  <si>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</si>
  <si>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</si>
  <si>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</si>
  <si>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</si>
  <si>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</si>
  <si>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</si>
  <si>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</si>
  <si>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</si>
  <si>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</si>
  <si>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</si>
  <si>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</si>
  <si>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</si>
  <si>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</si>
  <si>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</si>
  <si>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</si>
  <si>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</si>
  <si>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Tyren Montgomery</t>
  </si>
  <si>
    <t>New Owner</t>
  </si>
  <si>
    <t>Key</t>
  </si>
  <si>
    <t>Bryce Lance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</si>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</sst>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45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106</v>
      </c>
      <c r="P29" s="6" t="s">
        <v>107</v>
      </c>
      <c r="Q29" s="8"/>
      <c r="R29" s="6" t="s">
        <v>108</v>
      </c>
      <c r="S29" s="6" t="s">
        <v>109</v>
      </c>
      <c r="T29" s="6" t="s">
        <v>110</v>
      </c>
      <c r="U29" s="8"/>
      <c r="V29" s="6" t="s">
        <v>111</v>
      </c>
      <c r="W29" s="6" t="s">
        <v>112</v>
      </c>
      <c r="X29" s="6" t="s">
        <v>114</v>
      </c>
      <c r="Y29" s="6" t="s">
        <v>115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118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111</v>
      </c>
      <c r="P44" s="6" t="s">
        <v>10</v>
      </c>
      <c r="Q44" s="6" t="s">
        <v>134</v>
      </c>
      <c r="R44" s="6" t="s">
        <v>107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118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49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53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46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54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40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48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119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116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7">
        <f>SUM($D$2:$D$500)
</f>
        <v>0</v>
      </c>
    </row>
    <row r="6">
      <c r="A6" s="9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7">
        <f>L2-L5
</f>
        <v>1200</v>
      </c>
    </row>
    <row r="7">
      <c r="A7" s="9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47</v>
      </c>
      <c r="L14" s="19">
        <f>IF(L13&gt;0,L6/L13,1)</f>
        <v>1</v>
      </c>
    </row>
    <row r="15">
      <c r="A15" s="9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55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113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116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117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119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