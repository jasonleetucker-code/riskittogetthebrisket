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<sst xmlns="http://schemas.openxmlformats.org/spreadsheetml/2006/main" count="312" uniqueCount="178">
  <si>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</si>
  <si>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</si>
  <si>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</si>
  <si>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</si>
  <si>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</si>
  <si>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</si>
  <si>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</si>
  <si>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</si>
  <si>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</si>
  <si>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</si>
  <si>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</si>
  <si>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</si>
  <si>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</si>
  <si>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</si>
  <si>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</si>
  <si>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</si>
  <si>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</si>
  <si>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</si>
  <si>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</si>
  <si>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</si>
  <si>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</si>
  <si>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</si>
  <si>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</si>
  <si>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</si>
  <si>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</si>
  <si>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</si>
  <si>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</si>
  <si>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</si>
  <si>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</si>
  <si>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</si>
  <si>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</si>
  <si>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</si>
  <si>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</si>
  <si>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</si>
  <si>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</si>
  <si>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</si>
  <si>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</si>
  <si>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</si>
  <si>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</si>
  <si>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1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</si>
  <si>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</si>
  <si>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</si>
  <si>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</si>
  <si>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</si>
  <si>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</si>
  <si>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</si>
  <si>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</si>
  <si>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</si>
  <si>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</si>
  <si>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</si>
  <si>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</si>
  <si>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</si>
  <si>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</si>
  <si>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Round 3</t>
  </si>
  <si>
    <t>Jacob Rodriguez</t>
  </si>
  <si>
    <t>Jonah Coleman</t>
  </si>
  <si>
    <t>Jake Golday</t>
  </si>
  <si>
    <t>Dillon Thieneman</t>
  </si>
  <si>
    <t>Rueben Bain</t>
  </si>
  <si>
    <t>Round 4</t>
  </si>
  <si>
    <t>Chris Bell</t>
  </si>
  <si>
    <t>Germie Bernard</t>
  </si>
  <si>
    <t>Nicholas Singleton</t>
  </si>
  <si>
    <t>Mike Washington</t>
  </si>
  <si>
    <t>Round 5</t>
  </si>
  <si>
    <t>Enforce % of Fair</t>
  </si>
  <si>
    <t>Antonio Williams</t>
  </si>
  <si>
    <t>Elijah Sarratt</t>
  </si>
  <si>
    <t>Emmett Johnson</t>
  </si>
  <si>
    <t>Chris Brazzell</t>
  </si>
  <si>
    <t>Max Klare</t>
  </si>
  <si>
    <t>Round 6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</si>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</sst>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39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3">
        <v>1.03</v>
      </c>
      <c r="B4" s="5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10" t="s">
        <v>53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3">
        <v>1.04</v>
      </c>
      <c r="B5" s="5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10" t="s">
        <v>59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3">
        <v>1.05</v>
      </c>
      <c r="B6" s="5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10" t="s">
        <v>64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3">
        <v>1.06</v>
      </c>
      <c r="B7" s="5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10" t="s">
        <v>71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3">
        <v>1.07</v>
      </c>
      <c r="B8" s="5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3">
        <v>1.08</v>
      </c>
      <c r="B9" s="5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7">
        <f>Sum(D2:D73)</f>
        <v>1200</v>
      </c>
      <c r="E74" s="4"/>
      <c r="F74" s="17">
        <v>1200.0</v>
      </c>
      <c r="G74" s="17">
        <v>1200.0</v>
      </c>
      <c r="H74" s="17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36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38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67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68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62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60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70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66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10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7" t="s">
        <v>26</v>
      </c>
      <c r="C5" s="9">
        <v>82.5</v>
      </c>
      <c r="E5" s="16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6">
        <f>SUM($D$2:$D$500)
</f>
        <v>0</v>
      </c>
    </row>
    <row r="6">
      <c r="A6" s="2">
        <v>5.0</v>
      </c>
      <c r="B6" s="7" t="s">
        <v>28</v>
      </c>
      <c r="C6" s="9">
        <v>76.0</v>
      </c>
      <c r="E6" s="16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6">
        <f>L2-L5
</f>
        <v>1200</v>
      </c>
    </row>
    <row r="7">
      <c r="A7" s="2">
        <v>6.0</v>
      </c>
      <c r="B7" s="7" t="s">
        <v>30</v>
      </c>
      <c r="C7" s="9">
        <v>66.5</v>
      </c>
      <c r="E7" s="16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6">
        <f>SUMIF($E$2:$E$500,TRUE,$D$2:$D$500)</f>
        <v>0</v>
      </c>
    </row>
    <row r="8">
      <c r="A8" s="2">
        <v>7.0</v>
      </c>
      <c r="B8" s="7" t="s">
        <v>32</v>
      </c>
      <c r="C8" s="9">
        <v>57.5</v>
      </c>
      <c r="E8" s="16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9">
        <f>L4-L7
</f>
        <v>180</v>
      </c>
    </row>
    <row r="9">
      <c r="A9" s="2">
        <v>8.0</v>
      </c>
      <c r="B9" s="7" t="s">
        <v>34</v>
      </c>
      <c r="C9" s="9">
        <v>53.0</v>
      </c>
      <c r="E9" s="16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9">
        <f>L6-L8
</f>
        <v>1020</v>
      </c>
    </row>
    <row r="10">
      <c r="A10" s="2">
        <v>9.0</v>
      </c>
      <c r="B10" s="7" t="s">
        <v>36</v>
      </c>
      <c r="C10" s="9">
        <v>48.0</v>
      </c>
      <c r="E10" s="16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37</v>
      </c>
      <c r="L10" s="9">
        <f>IF(L3&gt;1,L9/(L3-1),0)</f>
        <v>92.72727273</v>
      </c>
    </row>
    <row r="11">
      <c r="A11" s="2">
        <v>10.0</v>
      </c>
      <c r="B11" s="7" t="s">
        <v>38</v>
      </c>
      <c r="C11" s="9">
        <v>43.0</v>
      </c>
      <c r="E11" s="16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7" t="s">
        <v>41</v>
      </c>
      <c r="C12" s="9">
        <v>39.0</v>
      </c>
      <c r="E12" s="16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42</v>
      </c>
      <c r="C13" s="9">
        <v>34.0</v>
      </c>
      <c r="E13" s="16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6">
        <f>SUMIF($D$2:$D$73,"",$C$2:$C$73)</f>
        <v>1200</v>
      </c>
    </row>
    <row r="14">
      <c r="A14" s="2">
        <v>13.0</v>
      </c>
      <c r="B14" s="7" t="s">
        <v>44</v>
      </c>
      <c r="C14" s="9">
        <v>30.5</v>
      </c>
      <c r="E14" s="16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7" t="s">
        <v>46</v>
      </c>
      <c r="C15" s="9">
        <v>27.5</v>
      </c>
      <c r="E15" s="16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47</v>
      </c>
      <c r="C16" s="9">
        <v>25.5</v>
      </c>
      <c r="E16" s="16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50</v>
      </c>
      <c r="C17" s="9">
        <v>22.5</v>
      </c>
      <c r="E17" s="16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51</v>
      </c>
      <c r="C18" s="9">
        <v>20.0</v>
      </c>
      <c r="E18" s="16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7" t="s">
        <v>54</v>
      </c>
      <c r="C19" s="9">
        <v>18.5</v>
      </c>
      <c r="E19" s="16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55</v>
      </c>
      <c r="C20" s="9">
        <v>16.5</v>
      </c>
      <c r="E20" s="16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56</v>
      </c>
      <c r="C21" s="9">
        <v>14.5</v>
      </c>
      <c r="E21" s="16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57</v>
      </c>
      <c r="C22" s="9">
        <v>13.5</v>
      </c>
      <c r="E22" s="16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58</v>
      </c>
      <c r="C23" s="9">
        <v>12.0</v>
      </c>
      <c r="E23" s="16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60</v>
      </c>
      <c r="C24" s="9">
        <v>11.0</v>
      </c>
      <c r="E24" s="16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61</v>
      </c>
      <c r="C25" s="9">
        <v>10.0</v>
      </c>
      <c r="E25" s="16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62</v>
      </c>
      <c r="C26" s="9">
        <v>9.5</v>
      </c>
      <c r="E26" s="16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63</v>
      </c>
      <c r="C27" s="9">
        <v>8.5</v>
      </c>
      <c r="E27" s="16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7" t="s">
        <v>66</v>
      </c>
      <c r="C28" s="9">
        <v>8.0</v>
      </c>
      <c r="E28" s="16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67</v>
      </c>
      <c r="C29" s="9">
        <v>7.0</v>
      </c>
      <c r="E29" s="16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68</v>
      </c>
      <c r="C30" s="9">
        <v>6.5</v>
      </c>
      <c r="E30" s="16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69</v>
      </c>
      <c r="C31" s="9">
        <v>6.0</v>
      </c>
      <c r="E31" s="16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70</v>
      </c>
      <c r="C32" s="9">
        <v>5.5</v>
      </c>
      <c r="E32" s="16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72</v>
      </c>
      <c r="C33" s="9">
        <v>5.0</v>
      </c>
      <c r="E33" s="16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73</v>
      </c>
      <c r="C34" s="9">
        <v>4.5</v>
      </c>
      <c r="E34" s="16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74</v>
      </c>
      <c r="C35" s="9">
        <v>4.5</v>
      </c>
      <c r="E35" s="16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75</v>
      </c>
      <c r="C36" s="9">
        <v>4.0</v>
      </c>
      <c r="E36" s="16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76</v>
      </c>
      <c r="C37" s="9">
        <v>4.0</v>
      </c>
      <c r="E37" s="16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77</v>
      </c>
      <c r="C38" s="9">
        <v>3.5</v>
      </c>
      <c r="E38" s="16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78</v>
      </c>
      <c r="C39" s="9">
        <v>3.5</v>
      </c>
      <c r="E39" s="16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79</v>
      </c>
      <c r="C40" s="9">
        <v>3.0</v>
      </c>
      <c r="E40" s="16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80</v>
      </c>
      <c r="C41" s="9">
        <v>3.0</v>
      </c>
      <c r="E41" s="16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81</v>
      </c>
      <c r="C42" s="9">
        <v>2.5</v>
      </c>
      <c r="E42" s="16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9">
        <v>2.5</v>
      </c>
      <c r="E43" s="16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9">
        <v>2.5</v>
      </c>
      <c r="E44" s="16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9">
        <v>2.5</v>
      </c>
      <c r="E45" s="16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9">
        <v>2.0</v>
      </c>
      <c r="E46" s="16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9">
        <v>2.0</v>
      </c>
      <c r="E47" s="16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6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6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6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6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6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6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6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6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6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6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6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6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6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6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6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9">
        <v>1.0</v>
      </c>
      <c r="E63" s="16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9">
        <v>1.0</v>
      </c>
      <c r="E64" s="16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9">
        <v>1.0</v>
      </c>
      <c r="E65" s="16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9">
        <v>1.0</v>
      </c>
      <c r="E66" s="16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9">
        <v>1.0</v>
      </c>
      <c r="E67" s="16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9">
        <v>1.0</v>
      </c>
      <c r="E68" s="16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108</v>
      </c>
      <c r="C69" s="9">
        <v>1.0</v>
      </c>
      <c r="E69" s="16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109</v>
      </c>
      <c r="C70" s="9">
        <v>1.0</v>
      </c>
      <c r="E70" s="16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110</v>
      </c>
      <c r="C71" s="9">
        <v>1.0</v>
      </c>
      <c r="E71" s="16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111</v>
      </c>
      <c r="C72" s="9">
        <v>1.0</v>
      </c>
      <c r="E72" s="16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9">
        <v>1.0</v>
      </c>
      <c r="E73" s="16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