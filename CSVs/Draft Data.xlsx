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<sst xmlns="http://schemas.openxmlformats.org/spreadsheetml/2006/main" count="312" uniqueCount="178">
  <si>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</si>
  <si>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</si>
  <si>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</si>
  <si>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</si>
  <si>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</si>
  <si>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</si>
  <si>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</si>
  <si>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</si>
  <si>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</si>
  <si>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Floors</t>
  </si>
  <si>
    <t>Mine?</t>
  </si>
  <si>
    <t>Inflated Fair Price</t>
  </si>
  <si>
    <t>Fractions</t>
  </si>
  <si>
    <t>Monotone Rounded</t>
  </si>
  <si>
    <t>My Max Bid</t>
  </si>
  <si>
    <t>Final Dollar Per Pick</t>
  </si>
  <si>
    <t>EnforceUpTo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</si>
  <si>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</si>
  <si>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</si>
  <si>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</si>
  <si>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</si>
  <si>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</si>
  <si>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</si>
  <si>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</si>
  <si>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</si>
  <si>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</si>
  <si>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</si>
  <si>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</si>
  <si>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</si>
  <si>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</si>
  <si>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</si>
  <si>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</si>
  <si>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</si>
  <si>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</si>
  <si>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</si>
  <si>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</si>
  <si>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</si>
  <si>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</si>
  <si>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</si>
  <si>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</si>
  <si>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</si>
  <si>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</si>
  <si>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</si>
  <si>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</si>
  <si>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</si>
  <si>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</si>
  <si>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</si>
  <si>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</si>
  <si>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</si>
  <si>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</si>
  <si>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</si>
  <si>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</si>
  <si>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</si>
  <si>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</si>
  <si>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</si>
  <si>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Jacob Rodriguez</t>
  </si>
  <si>
    <t>Round 5</t>
  </si>
  <si>
    <t>Jonah Coleman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</si>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</sst>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9</v>
      </c>
      <c r="J1" s="7" t="s">
        <v>12</v>
      </c>
      <c r="K1" s="7" t="s">
        <v>13</v>
      </c>
      <c r="L1" s="9" t="s">
        <v>15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33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31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49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52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45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53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57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59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48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64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58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63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10</v>
      </c>
      <c r="F1" s="8" t="s">
        <v>11</v>
      </c>
      <c r="G1" s="8" t="s">
        <v>14</v>
      </c>
      <c r="H1" s="8" t="s">
        <v>16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41</v>
      </c>
      <c r="L11" s="19">
        <f>IF(L10&gt;0,L8/L10,1)</f>
        <v>1.941176471</v>
      </c>
    </row>
    <row r="12">
      <c r="A12" s="4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44</v>
      </c>
      <c r="L13" s="17">
        <f>SUMIF($D$2:$D$73,"",$C$2:$C$73)</f>
        <v>1200</v>
      </c>
    </row>
    <row r="14">
      <c r="A14" s="4">
        <v>13.0</v>
      </c>
      <c r="B14" s="11" t="s">
        <v>45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47</v>
      </c>
      <c r="L14" s="19">
        <f>IF(L13&gt;0,L6/L13,1)</f>
        <v>1</v>
      </c>
    </row>
    <row r="15">
      <c r="A15" s="4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50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52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53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57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58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59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