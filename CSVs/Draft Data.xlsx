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<sst xmlns="http://schemas.openxmlformats.org/spreadsheetml/2006/main" count="312" uniqueCount="178">
  <si>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</si>
  <si>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</si>
  <si>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</si>
  <si>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</si>
  <si>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</si>
  <si>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</si>
  <si>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</si>
  <si>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</si>
  <si>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</si>
  <si>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</si>
  <si>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</si>
  <si>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</si>
  <si>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</si>
  <si>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</si>
  <si>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</si>
  <si>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</si>
  <si>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</si>
  <si>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</si>
  <si>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</si>
  <si>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</si>
  <si>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</si>
  <si>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</si>
  <si>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</si>
  <si>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</si>
  <si>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</si>
  <si>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</si>
  <si>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</si>
  <si>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</si>
  <si>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</si>
  <si>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</si>
  <si>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</si>
  <si>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</si>
  <si>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</si>
  <si>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</si>
  <si>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</si>
  <si>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</si>
  <si>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</si>
  <si>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</si>
  <si>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</si>
  <si>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</si>
  <si>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</si>
  <si>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1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</si>
  <si>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</si>
  <si>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</si>
  <si>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</si>
  <si>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</si>
  <si>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</si>
  <si>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</si>
  <si>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</si>
  <si>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</si>
  <si>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</si>
  <si>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</si>
  <si>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</si>
  <si>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</si>
  <si>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Round 2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</si>
  <si>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</si>
  <si>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</si>
  <si>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</si>
  <si>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</si>
  <si>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</si>
  <si>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</si>
  <si>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</si>
  <si>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3</t>
  </si>
  <si>
    <t>Enforce % of Fair</t>
  </si>
  <si>
    <t>Antonio Williams</t>
  </si>
  <si>
    <t>Elijah Sarratt</t>
  </si>
  <si>
    <t>Emmett Johnson</t>
  </si>
  <si>
    <t>Chris Brazzell</t>
  </si>
  <si>
    <t>Max Klare</t>
  </si>
  <si>
    <t>Round 4</t>
  </si>
  <si>
    <t>Zachariah Branch</t>
  </si>
  <si>
    <t>De'Zhaun Stribling</t>
  </si>
  <si>
    <t>Malachi Fields</t>
  </si>
  <si>
    <t>Kaytron Allen</t>
  </si>
  <si>
    <t>Ted Hurst</t>
  </si>
  <si>
    <t>Ja'Kobi Lane</t>
  </si>
  <si>
    <t>Round 5</t>
  </si>
  <si>
    <t>Anthony Hill</t>
  </si>
  <si>
    <t>Skyler Bell</t>
  </si>
  <si>
    <t>A.J. Haulcy</t>
  </si>
  <si>
    <t>Josiah Trotter</t>
  </si>
  <si>
    <t>Dani Dennis-Sutton</t>
  </si>
  <si>
    <t>Emmanuel McNeil-Warren</t>
  </si>
  <si>
    <t>Round 6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</si>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</sst>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4" t="s">
        <v>2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47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49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50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52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53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56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82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36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38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65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66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60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55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58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70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72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80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59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68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75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64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73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78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74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3" t="s">
        <v>7</v>
      </c>
      <c r="G1" s="3" t="s">
        <v>8</v>
      </c>
      <c r="H1" s="3" t="s">
        <v>9</v>
      </c>
      <c r="I1" s="2" t="s">
        <v>10</v>
      </c>
      <c r="K1" s="2" t="s">
        <v>11</v>
      </c>
    </row>
    <row r="2">
      <c r="A2" s="2">
        <v>1.0</v>
      </c>
      <c r="B2" s="5" t="s">
        <v>12</v>
      </c>
      <c r="C2" s="7">
        <v>139.0</v>
      </c>
      <c r="D2" s="2"/>
      <c r="E2" s="2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5" t="s">
        <v>22</v>
      </c>
      <c r="C3" s="7">
        <v>106.5</v>
      </c>
      <c r="D3" s="2"/>
      <c r="E3" s="2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5" t="s">
        <v>24</v>
      </c>
      <c r="C4" s="7">
        <v>93.0</v>
      </c>
      <c r="D4" s="2"/>
      <c r="E4" s="2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7">
        <f>L4-L7
</f>
        <v>180</v>
      </c>
    </row>
    <row r="9">
      <c r="A9" s="2">
        <v>8.0</v>
      </c>
      <c r="B9" s="5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7">
        <f>L6-L8
</f>
        <v>1020</v>
      </c>
    </row>
    <row r="10">
      <c r="A10" s="2">
        <v>9.0</v>
      </c>
      <c r="B10" s="5" t="s">
        <v>36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7">
        <f>IF(L3&gt;1,L9/(L3-1),0)</f>
        <v>92.72727273</v>
      </c>
    </row>
    <row r="11">
      <c r="A11" s="2">
        <v>10.0</v>
      </c>
      <c r="B11" s="5" t="s">
        <v>38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9">
        <f>IF(L10&gt;0,L8/L10,1)</f>
        <v>1.941176471</v>
      </c>
    </row>
    <row r="12">
      <c r="A12" s="2">
        <v>11.0</v>
      </c>
      <c r="B12" s="5" t="s">
        <v>40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5" t="s">
        <v>47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5" t="s">
        <v>49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5" t="s">
        <v>50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51</v>
      </c>
      <c r="L18" s="20">
        <f>L5/L2</f>
        <v>0</v>
      </c>
    </row>
    <row r="19">
      <c r="A19" s="2">
        <v>18.0</v>
      </c>
      <c r="B19" s="5" t="s">
        <v>52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5" t="s">
        <v>53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5" t="s">
        <v>55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5" t="s">
        <v>56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5" t="s">
        <v>57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5" t="s">
        <v>58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5" t="s">
        <v>59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5" t="s">
        <v>60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5" t="s">
        <v>61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5" t="s">
        <v>64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5" t="s">
        <v>65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5" t="s">
        <v>66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5" t="s">
        <v>67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5" t="s">
        <v>68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5" t="s">
        <v>70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5" t="s">
        <v>71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5" t="s">
        <v>72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5" t="s">
        <v>73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5" t="s">
        <v>74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5" t="s">
        <v>75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5" t="s">
        <v>77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5" t="s">
        <v>78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5" t="s">
        <v>79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5" t="s">
        <v>80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5" t="s">
        <v>81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5" t="s">
        <v>82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