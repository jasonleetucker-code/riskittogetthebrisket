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<sst xmlns="http://schemas.openxmlformats.org/spreadsheetml/2006/main" count="312" uniqueCount="178">
  <si>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</si>
  <si>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</si>
  <si>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</si>
  <si>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</si>
  <si>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</si>
  <si>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</si>
  <si>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</si>
  <si>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</si>
  <si>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</si>
  <si>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</si>
  <si>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</si>
  <si>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</si>
  <si>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</si>
  <si>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</si>
  <si>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</si>
  <si>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</si>
  <si>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</si>
  <si>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</si>
  <si>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</si>
  <si>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</si>
  <si>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</si>
  <si>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</si>
  <si>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</si>
  <si>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</si>
  <si>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</si>
  <si>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</si>
  <si>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</si>
  <si>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</si>
  <si>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</si>
  <si>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</si>
  <si>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</si>
  <si>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</si>
  <si>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</si>
  <si>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</si>
  <si>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</si>
  <si>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</si>
  <si>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</si>
  <si>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</si>
  <si>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</si>
  <si>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</si>
  <si>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</si>
  <si>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</si>
  <si>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</si>
  <si>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</si>
  <si>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</si>
  <si>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</si>
  <si>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</si>
  <si>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</si>
  <si>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</si>
  <si>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</si>
  <si>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</si>
  <si>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</si>
  <si>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</si>
  <si>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</si>
  <si>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</si>
  <si>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</si>
  <si>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</si>
  <si>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</si>
  <si>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</si>
  <si>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</si>
  <si>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</si>
  <si>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</si>
  <si>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</si>
  <si>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</si>
  <si>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</si>
  <si>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</si>
  <si>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</si>
  <si>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</si>
  <si>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</si>
  <si>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</si>
  <si>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</si>
  <si>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</si>
  <si>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</si>
  <si>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</si>
  <si>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</si>
  <si>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</si>
  <si>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</si>
  <si>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</si>
  <si>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</si>
  <si>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</si>
  <si>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</si>
  <si>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</si>
  <si>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</si>
  <si>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</si>
  <si>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</si>
  <si>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</si>
  <si>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</si>
  <si>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</si>
  <si>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</si>
  <si>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</si>
  <si>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</si>
  <si>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</si>
  <si>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</si>
  <si>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</si>
  <si>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</si>
  <si>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</si>
  <si>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</si>
  <si>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</si>
  <si>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</si>
  <si>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</si>
  <si>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</si>
  <si>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</si>
  <si>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</si>
  <si>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</si>
  <si>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</si>
  <si>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</si>
  <si>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</si>
  <si>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</si>
  <si>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</si>
  <si>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</si>
  <si>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</si>
  <si>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Standings</t>
  </si>
  <si>
    <t>Will Kacmarek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</si>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</sst>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8" t="s">
        <v>44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8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8" t="s">
        <v>55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8" t="s">
        <v>59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8" t="s">
        <v>111</v>
      </c>
      <c r="P29" s="8" t="s">
        <v>113</v>
      </c>
      <c r="Q29" s="12"/>
      <c r="R29" s="8" t="s">
        <v>114</v>
      </c>
      <c r="S29" s="8" t="s">
        <v>115</v>
      </c>
      <c r="T29" s="8" t="s">
        <v>116</v>
      </c>
      <c r="U29" s="12"/>
      <c r="V29" s="8" t="s">
        <v>117</v>
      </c>
      <c r="W29" s="8" t="s">
        <v>118</v>
      </c>
      <c r="X29" s="8" t="s">
        <v>119</v>
      </c>
      <c r="Y29" s="8" t="s">
        <v>120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8" t="s">
        <v>117</v>
      </c>
      <c r="P44" s="8" t="s">
        <v>20</v>
      </c>
      <c r="Q44" s="8" t="s">
        <v>134</v>
      </c>
      <c r="R44" s="8" t="s">
        <v>113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7">
        <f>SUM($D$2:$D$500)
</f>
        <v>0</v>
      </c>
    </row>
    <row r="6">
      <c r="A6" s="2">
        <v>5.0</v>
      </c>
      <c r="B6" s="9" t="s">
        <v>29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43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45</v>
      </c>
      <c r="L13" s="17">
        <f>SUMIF($D$2:$D$73,"",$C$2:$C$73)</f>
        <v>1200</v>
      </c>
    </row>
    <row r="14">
      <c r="A14" s="2">
        <v>13.0</v>
      </c>
      <c r="B14" s="9" t="s">
        <v>46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49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53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56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57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58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60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61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112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121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