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<sst xmlns="http://schemas.openxmlformats.org/spreadsheetml/2006/main" count="312" uniqueCount="178">
  <si>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</si>
  <si>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</si>
  <si>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</si>
  <si>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</si>
  <si>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</si>
  <si>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</si>
  <si>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</si>
  <si>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</si>
  <si>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</si>
  <si>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</si>
  <si>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</si>
  <si>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</si>
  <si>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</si>
  <si>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</si>
  <si>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</si>
  <si>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</si>
  <si>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</si>
  <si>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</si>
  <si>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</si>
  <si>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</si>
  <si>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</si>
  <si>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Round 1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</si>
  <si>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</si>
  <si>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</si>
  <si>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</si>
  <si>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</si>
  <si>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</si>
  <si>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</si>
  <si>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</si>
  <si>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</si>
  <si>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2</t>
  </si>
  <si>
    <t>Remaining Leage $</t>
  </si>
  <si>
    <t>Kenyon Sadiq</t>
  </si>
  <si>
    <t>My Spent</t>
  </si>
  <si>
    <t>Sonny Styles</t>
  </si>
  <si>
    <t>Round 3</t>
  </si>
  <si>
    <t>My Remaining</t>
  </si>
  <si>
    <t>KC Concepcion</t>
  </si>
  <si>
    <t>Other Teams Remaining</t>
  </si>
  <si>
    <t>Jadarian Price</t>
  </si>
  <si>
    <t>Round 4</t>
  </si>
  <si>
    <t>Avg $ per Other Team</t>
  </si>
  <si>
    <t>Eli Stowers</t>
  </si>
  <si>
    <t>Budget Advantage Factor</t>
  </si>
  <si>
    <t>Omar Cooper</t>
  </si>
  <si>
    <t>Round 5</t>
  </si>
  <si>
    <t>CJ Allen</t>
  </si>
  <si>
    <t>Undrafted Predraft$</t>
  </si>
  <si>
    <t>Arvell Reese</t>
  </si>
  <si>
    <t>Inflation Factor</t>
  </si>
  <si>
    <t>Round 6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</si>
  <si>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</si>
  <si>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</si>
  <si>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</si>
  <si>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</si>
  <si>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</si>
  <si>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</si>
  <si>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</si>
  <si>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</si>
  <si>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</si>
  <si>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</si>
  <si>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</si>
  <si>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</si>
  <si>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</si>
  <si>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</si>
  <si>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</si>
  <si>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</si>
  <si>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</si>
  <si>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</si>
  <si>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</si>
  <si>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</si>
  <si>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</si>
  <si>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</si>
  <si>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</si>
  <si>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</si>
  <si>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</si>
  <si>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</si>
  <si>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</si>
  <si>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</si>
  <si>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</si>
  <si>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</si>
  <si>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</si>
  <si>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</si>
  <si>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</si>
  <si>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</si>
  <si>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</si>
  <si>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</si>
  <si>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</si>
  <si>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</si>
  <si>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</si>
  <si>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</si>
  <si>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</si>
  <si>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</si>
  <si>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</si>
  <si>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</si>
  <si>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</si>
  <si>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</si>
  <si>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</si>
  <si>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</si>
  <si>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</si>
  <si>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</si>
  <si>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</si>
  <si>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</si>
  <si>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</si>
  <si>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</si>
  <si>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</si>
  <si>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</si>
  <si>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</si>
  <si>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Drew Allar</t>
  </si>
  <si>
    <t>Carson Beck</t>
  </si>
  <si>
    <t>Ed</t>
  </si>
  <si>
    <t>Joe Royer</t>
  </si>
  <si>
    <t>Sam Roush</t>
  </si>
  <si>
    <t>Tanner Koziol</t>
  </si>
  <si>
    <t>Jack Endries</t>
  </si>
  <si>
    <t>Matthew Hibner</t>
  </si>
  <si>
    <t>Tyren Montgomery</t>
  </si>
  <si>
    <t>Brent</t>
  </si>
  <si>
    <t>Bryce Lance</t>
  </si>
  <si>
    <t>Kevin Coleman</t>
  </si>
  <si>
    <t>Joey</t>
  </si>
  <si>
    <t>Garrett Nussmeier</t>
  </si>
  <si>
    <t>Nate Boerkircher</t>
  </si>
  <si>
    <t>Will Kacmarek</t>
  </si>
  <si>
    <t>MaKayla</t>
  </si>
  <si>
    <t>Noah Whittington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</si>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</sst>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6">
        <f t="shared" ref="L2:L74" si="7">D2</f>
        <v>134.5</v>
      </c>
      <c r="M2" s="12"/>
      <c r="N2" s="12"/>
      <c r="O2" s="10" t="s">
        <v>21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6">
        <f t="shared" si="7"/>
        <v>100.5</v>
      </c>
      <c r="M3" s="12"/>
      <c r="N3" s="12"/>
      <c r="O3" s="10" t="s">
        <v>30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6">
        <f t="shared" si="7"/>
        <v>93</v>
      </c>
      <c r="M4" s="12"/>
      <c r="N4" s="12"/>
      <c r="O4" s="10" t="s">
        <v>35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6">
        <f t="shared" si="7"/>
        <v>80.5</v>
      </c>
      <c r="M5" s="12"/>
      <c r="N5" s="12"/>
      <c r="O5" s="10" t="s">
        <v>40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6">
        <f t="shared" si="7"/>
        <v>75.5</v>
      </c>
      <c r="M6" s="12"/>
      <c r="N6" s="12"/>
      <c r="O6" s="10" t="s">
        <v>45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6">
        <f t="shared" si="7"/>
        <v>68.5</v>
      </c>
      <c r="M7" s="12"/>
      <c r="N7" s="12"/>
      <c r="O7" s="10" t="s">
        <v>50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6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6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6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6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6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6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6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6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6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6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6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6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6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6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6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6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6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6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6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6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6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6">
        <f t="shared" si="7"/>
        <v>7</v>
      </c>
      <c r="M29" s="12"/>
      <c r="N29" s="12"/>
      <c r="O29" s="10" t="s">
        <v>99</v>
      </c>
      <c r="P29" s="10" t="s">
        <v>100</v>
      </c>
      <c r="Q29" s="12"/>
      <c r="R29" s="10" t="s">
        <v>101</v>
      </c>
      <c r="S29" s="10" t="s">
        <v>102</v>
      </c>
      <c r="T29" s="10" t="s">
        <v>103</v>
      </c>
      <c r="U29" s="12"/>
      <c r="V29" s="10" t="s">
        <v>104</v>
      </c>
      <c r="W29" s="10" t="s">
        <v>105</v>
      </c>
      <c r="X29" s="10" t="s">
        <v>106</v>
      </c>
      <c r="Y29" s="10" t="s">
        <v>107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6">
        <f t="shared" si="7"/>
        <v>6.5</v>
      </c>
      <c r="M30" s="12"/>
      <c r="N30" s="12"/>
      <c r="O30" s="6">
        <v>1.0</v>
      </c>
      <c r="P30" s="10" t="s">
        <v>110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6">
        <f t="shared" si="7"/>
        <v>6.5</v>
      </c>
      <c r="M31" s="12"/>
      <c r="N31" s="12"/>
      <c r="O31" s="6">
        <v>2.0</v>
      </c>
      <c r="P31" s="10" t="s">
        <v>117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6">
        <f t="shared" si="7"/>
        <v>5.5</v>
      </c>
      <c r="M32" s="12"/>
      <c r="N32" s="12"/>
      <c r="O32" s="6">
        <v>3.0</v>
      </c>
      <c r="P32" s="10" t="s">
        <v>120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6">
        <f t="shared" si="7"/>
        <v>5.5</v>
      </c>
      <c r="M33" s="12"/>
      <c r="N33" s="12"/>
      <c r="O33" s="6">
        <v>4.0</v>
      </c>
      <c r="P33" s="10" t="s">
        <v>124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6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6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6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6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6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6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6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6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6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6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6">
        <f t="shared" si="7"/>
        <v>2.5</v>
      </c>
      <c r="M44" s="12"/>
      <c r="N44" s="12"/>
      <c r="O44" s="10" t="s">
        <v>104</v>
      </c>
      <c r="P44" s="10" t="s">
        <v>20</v>
      </c>
      <c r="Q44" s="10" t="s">
        <v>134</v>
      </c>
      <c r="R44" s="10" t="s">
        <v>100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6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6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6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6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6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6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6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6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6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6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6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6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6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6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6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6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6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6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6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6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6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6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6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6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6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6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6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124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6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120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6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117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6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110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23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25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27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34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32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52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54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48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37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39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42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51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111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114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121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118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109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108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22</v>
      </c>
      <c r="L2" s="1">
        <v>1200.0</v>
      </c>
    </row>
    <row r="3">
      <c r="A3" s="1">
        <v>2.0</v>
      </c>
      <c r="B3" s="7" t="s">
        <v>23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" t="s">
        <v>24</v>
      </c>
      <c r="L3" s="1">
        <v>12.0</v>
      </c>
    </row>
    <row r="4">
      <c r="A4" s="1">
        <v>3.0</v>
      </c>
      <c r="B4" s="7" t="s">
        <v>25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7" t="str">
        <f t="shared" si="4"/>
        <v/>
      </c>
      <c r="K4" s="1" t="s">
        <v>26</v>
      </c>
      <c r="L4" s="4">
        <f>'Draft Data'!U63</f>
        <v>180</v>
      </c>
    </row>
    <row r="5">
      <c r="A5" s="1">
        <v>4.0</v>
      </c>
      <c r="B5" s="7" t="s">
        <v>27</v>
      </c>
      <c r="C5" s="9">
        <v>82.5</v>
      </c>
      <c r="E5" s="18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7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7" t="s">
        <v>29</v>
      </c>
      <c r="C6" s="9">
        <v>76.0</v>
      </c>
      <c r="E6" s="18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7" t="str">
        <f t="shared" si="4"/>
        <v/>
      </c>
      <c r="K6" s="1" t="s">
        <v>31</v>
      </c>
      <c r="L6" s="18">
        <f>L2-L5
</f>
        <v>1200</v>
      </c>
    </row>
    <row r="7">
      <c r="A7" s="1">
        <v>6.0</v>
      </c>
      <c r="B7" s="7" t="s">
        <v>32</v>
      </c>
      <c r="C7" s="9">
        <v>66.5</v>
      </c>
      <c r="E7" s="18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7" t="str">
        <f t="shared" si="4"/>
        <v/>
      </c>
      <c r="K7" s="1" t="s">
        <v>33</v>
      </c>
      <c r="L7" s="18">
        <f>SUMIF($E$2:$E$500,TRUE,$D$2:$D$500)</f>
        <v>0</v>
      </c>
    </row>
    <row r="8">
      <c r="A8" s="1">
        <v>7.0</v>
      </c>
      <c r="B8" s="7" t="s">
        <v>34</v>
      </c>
      <c r="C8" s="9">
        <v>57.5</v>
      </c>
      <c r="E8" s="18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7" t="str">
        <f t="shared" si="4"/>
        <v/>
      </c>
      <c r="K8" s="1" t="s">
        <v>36</v>
      </c>
      <c r="L8" s="9">
        <f>L4-L7
</f>
        <v>180</v>
      </c>
    </row>
    <row r="9">
      <c r="A9" s="1">
        <v>8.0</v>
      </c>
      <c r="B9" s="7" t="s">
        <v>37</v>
      </c>
      <c r="C9" s="9">
        <v>53.0</v>
      </c>
      <c r="E9" s="18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7" t="str">
        <f t="shared" si="4"/>
        <v/>
      </c>
      <c r="K9" s="1" t="s">
        <v>38</v>
      </c>
      <c r="L9" s="9">
        <f>L6-L8
</f>
        <v>1020</v>
      </c>
    </row>
    <row r="10">
      <c r="A10" s="1">
        <v>9.0</v>
      </c>
      <c r="B10" s="7" t="s">
        <v>39</v>
      </c>
      <c r="C10" s="9">
        <v>48.0</v>
      </c>
      <c r="E10" s="18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7" t="str">
        <f t="shared" si="4"/>
        <v/>
      </c>
      <c r="K10" s="1" t="s">
        <v>41</v>
      </c>
      <c r="L10" s="9">
        <f>IF(L3&gt;1,L9/(L3-1),0)</f>
        <v>92.72727273</v>
      </c>
    </row>
    <row r="11">
      <c r="A11" s="1">
        <v>10.0</v>
      </c>
      <c r="B11" s="7" t="s">
        <v>42</v>
      </c>
      <c r="C11" s="9">
        <v>43.0</v>
      </c>
      <c r="E11" s="18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7" t="str">
        <f t="shared" si="4"/>
        <v/>
      </c>
      <c r="K11" s="1" t="s">
        <v>43</v>
      </c>
      <c r="L11" s="19">
        <f>IF(L10&gt;0,L8/L10,1)</f>
        <v>1.941176471</v>
      </c>
    </row>
    <row r="12">
      <c r="A12" s="1">
        <v>11.0</v>
      </c>
      <c r="B12" s="7" t="s">
        <v>44</v>
      </c>
      <c r="C12" s="9">
        <v>39.0</v>
      </c>
      <c r="E12" s="18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7" t="str">
        <f t="shared" si="4"/>
        <v/>
      </c>
    </row>
    <row r="13">
      <c r="A13" s="1">
        <v>12.0</v>
      </c>
      <c r="B13" s="7" t="s">
        <v>46</v>
      </c>
      <c r="C13" s="9">
        <v>34.0</v>
      </c>
      <c r="E13" s="18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7" t="str">
        <f t="shared" si="4"/>
        <v/>
      </c>
      <c r="K13" s="1" t="s">
        <v>47</v>
      </c>
      <c r="L13" s="18">
        <f>SUMIF($D$2:$D$73,"",$C$2:$C$73)</f>
        <v>1200</v>
      </c>
    </row>
    <row r="14">
      <c r="A14" s="1">
        <v>13.0</v>
      </c>
      <c r="B14" s="7" t="s">
        <v>48</v>
      </c>
      <c r="C14" s="9">
        <v>30.5</v>
      </c>
      <c r="E14" s="18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7" t="str">
        <f t="shared" si="4"/>
        <v/>
      </c>
      <c r="K14" s="1" t="s">
        <v>49</v>
      </c>
      <c r="L14" s="19">
        <f>IF(L13&gt;0,L6/L13,1)</f>
        <v>1</v>
      </c>
    </row>
    <row r="15">
      <c r="A15" s="1">
        <v>14.0</v>
      </c>
      <c r="B15" s="7" t="s">
        <v>51</v>
      </c>
      <c r="C15" s="9">
        <v>27.5</v>
      </c>
      <c r="E15" s="18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7" t="str">
        <f t="shared" si="4"/>
        <v/>
      </c>
    </row>
    <row r="16">
      <c r="A16" s="1">
        <v>15.0</v>
      </c>
      <c r="B16" s="7" t="s">
        <v>52</v>
      </c>
      <c r="C16" s="9">
        <v>25.5</v>
      </c>
      <c r="E16" s="18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7" t="str">
        <f t="shared" si="4"/>
        <v/>
      </c>
      <c r="K16" s="1" t="s">
        <v>53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54</v>
      </c>
      <c r="C17" s="9">
        <v>22.5</v>
      </c>
      <c r="E17" s="18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7" t="str">
        <f t="shared" si="4"/>
        <v/>
      </c>
    </row>
    <row r="18">
      <c r="A18" s="1">
        <v>17.0</v>
      </c>
      <c r="B18" s="7" t="s">
        <v>55</v>
      </c>
      <c r="C18" s="9">
        <v>20.0</v>
      </c>
      <c r="E18" s="18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7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7" t="s">
        <v>57</v>
      </c>
      <c r="C19" s="9">
        <v>18.5</v>
      </c>
      <c r="E19" s="18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7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8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7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8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7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8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7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8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7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8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7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8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7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8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7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8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7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8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7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8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7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8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7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8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7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8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7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8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7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8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7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8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7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8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7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8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7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8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7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8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7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8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7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8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7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8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7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8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7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8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7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8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7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8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7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8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7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8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7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8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7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8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7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8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7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8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7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8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7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8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7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8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7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8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7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8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7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8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7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8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7" t="str">
        <f t="shared" si="4"/>
        <v/>
      </c>
    </row>
    <row r="60">
      <c r="A60" s="1">
        <v>59.0</v>
      </c>
      <c r="B60" s="7" t="s">
        <v>108</v>
      </c>
      <c r="C60" s="9">
        <v>2.0</v>
      </c>
      <c r="E60" s="18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7" t="str">
        <f t="shared" si="4"/>
        <v/>
      </c>
    </row>
    <row r="61">
      <c r="A61" s="1">
        <v>60.0</v>
      </c>
      <c r="B61" s="7" t="s">
        <v>109</v>
      </c>
      <c r="C61" s="9">
        <v>2.0</v>
      </c>
      <c r="E61" s="18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7" t="str">
        <f t="shared" si="4"/>
        <v/>
      </c>
    </row>
    <row r="62">
      <c r="A62" s="1">
        <v>61.0</v>
      </c>
      <c r="B62" s="7" t="s">
        <v>111</v>
      </c>
      <c r="C62" s="9">
        <v>1.0</v>
      </c>
      <c r="E62" s="18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7" t="str">
        <f t="shared" si="4"/>
        <v/>
      </c>
    </row>
    <row r="63">
      <c r="A63" s="1">
        <v>62.0</v>
      </c>
      <c r="B63" s="7" t="s">
        <v>112</v>
      </c>
      <c r="C63" s="9">
        <v>1.0</v>
      </c>
      <c r="E63" s="18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7" t="str">
        <f t="shared" si="4"/>
        <v/>
      </c>
    </row>
    <row r="64">
      <c r="A64" s="1">
        <v>63.0</v>
      </c>
      <c r="B64" s="7" t="s">
        <v>113</v>
      </c>
      <c r="C64" s="9">
        <v>1.0</v>
      </c>
      <c r="E64" s="18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7" t="str">
        <f t="shared" si="4"/>
        <v/>
      </c>
    </row>
    <row r="65">
      <c r="A65" s="1">
        <v>64.0</v>
      </c>
      <c r="B65" s="7" t="s">
        <v>114</v>
      </c>
      <c r="C65" s="9">
        <v>1.0</v>
      </c>
      <c r="E65" s="18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7" t="str">
        <f t="shared" si="4"/>
        <v/>
      </c>
    </row>
    <row r="66">
      <c r="A66" s="1">
        <v>65.0</v>
      </c>
      <c r="B66" s="7" t="s">
        <v>115</v>
      </c>
      <c r="C66" s="9">
        <v>1.0</v>
      </c>
      <c r="E66" s="18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7" t="str">
        <f t="shared" si="4"/>
        <v/>
      </c>
    </row>
    <row r="67">
      <c r="A67" s="1">
        <v>66.0</v>
      </c>
      <c r="B67" s="7" t="s">
        <v>116</v>
      </c>
      <c r="C67" s="9">
        <v>1.0</v>
      </c>
      <c r="E67" s="18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7" t="str">
        <f t="shared" si="4"/>
        <v/>
      </c>
    </row>
    <row r="68">
      <c r="A68" s="1">
        <v>67.0</v>
      </c>
      <c r="B68" s="7" t="s">
        <v>118</v>
      </c>
      <c r="C68" s="9">
        <v>1.0</v>
      </c>
      <c r="E68" s="18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7" t="str">
        <f t="shared" si="4"/>
        <v/>
      </c>
    </row>
    <row r="69">
      <c r="A69" s="1">
        <v>68.0</v>
      </c>
      <c r="B69" s="7" t="s">
        <v>119</v>
      </c>
      <c r="C69" s="9">
        <v>1.0</v>
      </c>
      <c r="E69" s="18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7" t="str">
        <f t="shared" si="4"/>
        <v/>
      </c>
    </row>
    <row r="70">
      <c r="A70" s="1">
        <v>69.0</v>
      </c>
      <c r="B70" s="7" t="s">
        <v>121</v>
      </c>
      <c r="C70" s="9">
        <v>1.0</v>
      </c>
      <c r="E70" s="18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7" t="str">
        <f t="shared" si="4"/>
        <v/>
      </c>
    </row>
    <row r="71">
      <c r="A71" s="1">
        <v>70.0</v>
      </c>
      <c r="B71" s="7" t="s">
        <v>122</v>
      </c>
      <c r="C71" s="9">
        <v>1.0</v>
      </c>
      <c r="E71" s="18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7" t="str">
        <f t="shared" si="4"/>
        <v/>
      </c>
    </row>
    <row r="72">
      <c r="A72" s="1">
        <v>71.0</v>
      </c>
      <c r="B72" s="7" t="s">
        <v>123</v>
      </c>
      <c r="C72" s="9">
        <v>1.0</v>
      </c>
      <c r="E72" s="18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7" t="str">
        <f t="shared" si="4"/>
        <v/>
      </c>
    </row>
    <row r="73">
      <c r="A73" s="1">
        <v>72.0</v>
      </c>
      <c r="B73" s="1" t="s">
        <v>125</v>
      </c>
      <c r="C73" s="9">
        <v>1.0</v>
      </c>
      <c r="E73" s="18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7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