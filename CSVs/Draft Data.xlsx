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<sst xmlns="http://schemas.openxmlformats.org/spreadsheetml/2006/main" count="312" uniqueCount="178">
  <si>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</si>
  <si>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</si>
  <si>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</si>
  <si>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</si>
  <si>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</si>
  <si>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</si>
  <si>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</si>
  <si>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</si>
  <si>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</si>
  <si>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</si>
  <si>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</si>
  <si>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</si>
  <si>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</si>
  <si>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</si>
  <si>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</si>
  <si>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</si>
  <si>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</si>
  <si>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</si>
  <si>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</si>
  <si>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</si>
  <si>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</si>
  <si>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</si>
  <si>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</si>
  <si>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</si>
  <si>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</si>
  <si>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</si>
  <si>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</si>
  <si>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</si>
  <si>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</si>
  <si>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</si>
  <si>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</si>
  <si>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</si>
  <si>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</si>
  <si>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</si>
  <si>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</si>
  <si>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</si>
  <si>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</si>
  <si>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</si>
  <si>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</si>
  <si>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</si>
  <si>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</si>
  <si>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</si>
  <si>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</si>
  <si>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Omar Cooper</t>
  </si>
  <si>
    <t>Round 4</t>
  </si>
  <si>
    <t>CJ Allen</t>
  </si>
  <si>
    <t>Undrafted Predraft$</t>
  </si>
  <si>
    <t>Round 5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</si>
  <si>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</si>
  <si>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</si>
  <si>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</si>
  <si>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</si>
  <si>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</si>
  <si>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</si>
  <si>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</si>
  <si>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</si>
  <si>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</si>
  <si>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</si>
  <si>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</si>
  <si>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</si>
  <si>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</si>
  <si>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</si>
  <si>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</si>
  <si>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</si>
  <si>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</si>
  <si>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</si>
  <si>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</si>
  <si>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</si>
  <si>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</si>
  <si>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</si>
  <si>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</si>
  <si>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</si>
  <si>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</si>
  <si>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</si>
  <si>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</si>
  <si>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</si>
  <si>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</si>
  <si>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</si>
  <si>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</si>
  <si>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</si>
  <si>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</si>
  <si>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</si>
  <si>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</si>
  <si>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</si>
  <si>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</si>
  <si>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</si>
  <si>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</si>
  <si>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</si>
  <si>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</si>
  <si>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</si>
  <si>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</si>
  <si>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</si>
  <si>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</si>
  <si>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</si>
  <si>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</si>
  <si>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</si>
  <si>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</si>
  <si>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</si>
  <si>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</si>
  <si>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</si>
  <si>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</si>
  <si>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</si>
  <si>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</si>
  <si>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</si>
  <si>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</si>
  <si>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</si>
  <si>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Matthew Hibner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</si>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</sst>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105</v>
      </c>
      <c r="P29" s="6" t="s">
        <v>107</v>
      </c>
      <c r="Q29" s="8"/>
      <c r="R29" s="6" t="s">
        <v>108</v>
      </c>
      <c r="S29" s="6" t="s">
        <v>109</v>
      </c>
      <c r="T29" s="6" t="s">
        <v>110</v>
      </c>
      <c r="U29" s="8"/>
      <c r="V29" s="6" t="s">
        <v>111</v>
      </c>
      <c r="W29" s="6" t="s">
        <v>112</v>
      </c>
      <c r="X29" s="6" t="s">
        <v>113</v>
      </c>
      <c r="Y29" s="6" t="s">
        <v>114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118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111</v>
      </c>
      <c r="P44" s="6" t="s">
        <v>9</v>
      </c>
      <c r="Q44" s="6" t="s">
        <v>134</v>
      </c>
      <c r="R44" s="6" t="s">
        <v>107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118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48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36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38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41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50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119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116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35</v>
      </c>
      <c r="L8" s="12">
        <f>L4-L7
</f>
        <v>180</v>
      </c>
    </row>
    <row r="9">
      <c r="A9" s="9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40</v>
      </c>
      <c r="L10" s="12">
        <f>IF(L3&gt;1,L9/(L3-1),0)</f>
        <v>92.72727273</v>
      </c>
    </row>
    <row r="11">
      <c r="A11" s="9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115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116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117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