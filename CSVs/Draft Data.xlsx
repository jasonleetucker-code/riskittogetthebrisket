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<sst xmlns="http://schemas.openxmlformats.org/spreadsheetml/2006/main" count="312" uniqueCount="178">
  <si>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</si>
  <si>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</si>
  <si>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</si>
  <si>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</si>
  <si>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</si>
  <si>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</si>
  <si>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</si>
  <si>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</si>
  <si>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</si>
  <si>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</si>
  <si>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</si>
  <si>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</si>
  <si>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</si>
  <si>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</si>
  <si>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</si>
  <si>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</si>
  <si>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</si>
  <si>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</si>
  <si>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</si>
  <si>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</si>
  <si>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</si>
  <si>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</si>
  <si>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</si>
  <si>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</si>
  <si>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</si>
  <si>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</si>
  <si>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</si>
  <si>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</si>
  <si>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</si>
  <si>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</si>
  <si>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</si>
  <si>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</si>
  <si>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</si>
  <si>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</si>
  <si>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</si>
  <si>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</si>
  <si>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</si>
  <si>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</si>
  <si>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</si>
  <si>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</si>
  <si>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</si>
  <si>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</si>
  <si>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</si>
  <si>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</si>
  <si>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</si>
  <si>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</si>
  <si>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</si>
  <si>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</si>
  <si>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</si>
  <si>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</si>
  <si>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</si>
  <si>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</si>
  <si>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</si>
  <si>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</si>
  <si>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</si>
  <si>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</si>
  <si>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</si>
  <si>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</si>
  <si>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</si>
  <si>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</si>
  <si>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</si>
  <si>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</si>
  <si>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</si>
  <si>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</si>
  <si>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</si>
  <si>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</si>
  <si>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</si>
  <si>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</si>
  <si>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</si>
  <si>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</si>
  <si>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</si>
  <si>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</si>
  <si>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</si>
  <si>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</si>
  <si>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</si>
  <si>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</si>
  <si>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</si>
  <si>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</si>
  <si>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</si>
  <si>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</si>
  <si>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</si>
  <si>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</si>
  <si>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</si>
  <si>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</si>
  <si>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</si>
  <si>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</si>
  <si>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</si>
  <si>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</si>
  <si>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</si>
  <si>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</si>
  <si>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</si>
  <si>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</si>
  <si>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</si>
  <si>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</si>
  <si>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Oscar Delp</t>
  </si>
  <si>
    <t>Michael Trigg</t>
  </si>
  <si>
    <t>Ed</t>
  </si>
  <si>
    <t>Demond Claiborne</t>
  </si>
  <si>
    <t>Malachi Lawrence</t>
  </si>
  <si>
    <t>CJ Donaldson</t>
  </si>
  <si>
    <t>T.J. Parker</t>
  </si>
  <si>
    <t>Cashius Howell</t>
  </si>
  <si>
    <t>Brent</t>
  </si>
  <si>
    <t>Joey</t>
  </si>
  <si>
    <t>Keldric Faulk</t>
  </si>
  <si>
    <t>MaKayla</t>
  </si>
  <si>
    <t>Akheem Mesidor</t>
  </si>
  <si>
    <t>Justin Joly</t>
  </si>
  <si>
    <t>Ty</t>
  </si>
  <si>
    <t>Eli Raridon</t>
  </si>
  <si>
    <t>Kich</t>
  </si>
  <si>
    <t>DJ Rogers</t>
  </si>
  <si>
    <t>Lake McRee</t>
  </si>
  <si>
    <t>Eric</t>
  </si>
  <si>
    <t>Cade Klubnik</t>
  </si>
  <si>
    <t>Collin</t>
  </si>
  <si>
    <t>Drew Allar</t>
  </si>
  <si>
    <t>Roy</t>
  </si>
  <si>
    <t>Carson Beck</t>
  </si>
  <si>
    <t>Joe Royer</t>
  </si>
  <si>
    <t>Jason</t>
  </si>
  <si>
    <t>Sam Roush</t>
  </si>
  <si>
    <t>Blaine</t>
  </si>
  <si>
    <t>Tanner Koziol</t>
  </si>
  <si>
    <t>Jack Endries</t>
  </si>
  <si>
    <t>Joel</t>
  </si>
  <si>
    <t>Matthew Hibner</t>
  </si>
  <si>
    <t>Tyren Montgomery</t>
  </si>
  <si>
    <t>Bryce Lance</t>
  </si>
  <si>
    <t>Kevin Coleman</t>
  </si>
  <si>
    <t>Garrett Nussmeier</t>
  </si>
  <si>
    <t>Value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</si>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</sst>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45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49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85</v>
      </c>
      <c r="P29" s="6" t="s">
        <v>86</v>
      </c>
      <c r="Q29" s="9"/>
      <c r="R29" s="6" t="s">
        <v>87</v>
      </c>
      <c r="S29" s="6" t="s">
        <v>88</v>
      </c>
      <c r="T29" s="6" t="s">
        <v>89</v>
      </c>
      <c r="U29" s="9"/>
      <c r="V29" s="6" t="s">
        <v>90</v>
      </c>
      <c r="W29" s="6" t="s">
        <v>91</v>
      </c>
      <c r="X29" s="6" t="s">
        <v>92</v>
      </c>
      <c r="Y29" s="6" t="s">
        <v>93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96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102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103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105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108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110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113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115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117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120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122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125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90</v>
      </c>
      <c r="P44" s="6" t="s">
        <v>13</v>
      </c>
      <c r="Q44" s="6" t="s">
        <v>131</v>
      </c>
      <c r="R44" s="6" t="s">
        <v>86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2">
        <f t="shared" si="18"/>
        <v>1</v>
      </c>
      <c r="P46" s="22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2">
        <f t="shared" si="18"/>
        <v>1</v>
      </c>
      <c r="P47" s="22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2">
        <f t="shared" si="18"/>
        <v>1</v>
      </c>
      <c r="P48" s="22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2">
        <f t="shared" si="18"/>
        <v>1</v>
      </c>
      <c r="P49" s="22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2">
        <f t="shared" si="18"/>
        <v>1</v>
      </c>
      <c r="P50" s="22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2">
        <f t="shared" si="18"/>
        <v>1</v>
      </c>
      <c r="P51" s="22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2">
        <f t="shared" si="18"/>
        <v>1</v>
      </c>
      <c r="P52" s="22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2">
        <f t="shared" si="18"/>
        <v>1</v>
      </c>
      <c r="P53" s="22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2">
        <f t="shared" si="18"/>
        <v>1</v>
      </c>
      <c r="P54" s="22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2">
        <f t="shared" si="18"/>
        <v>1</v>
      </c>
      <c r="P55" s="22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2">
        <f t="shared" si="18"/>
        <v>1</v>
      </c>
      <c r="P56" s="22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2">
        <f t="shared" si="18"/>
        <v>2</v>
      </c>
      <c r="P57" s="22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2">
        <f t="shared" si="18"/>
        <v>2</v>
      </c>
      <c r="P58" s="22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2">
        <f t="shared" si="18"/>
        <v>2</v>
      </c>
      <c r="P59" s="22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2">
        <f t="shared" si="18"/>
        <v>2</v>
      </c>
      <c r="P60" s="22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2">
        <f t="shared" si="18"/>
        <v>2</v>
      </c>
      <c r="P61" s="22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2">
        <f t="shared" si="18"/>
        <v>2</v>
      </c>
      <c r="P62" s="22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2">
        <f t="shared" si="18"/>
        <v>2</v>
      </c>
      <c r="P63" s="22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125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2">
        <f t="shared" si="18"/>
        <v>2</v>
      </c>
      <c r="P64" s="22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122</v>
      </c>
      <c r="U64" s="16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2">
        <f t="shared" si="18"/>
        <v>2</v>
      </c>
      <c r="P65" s="22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120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2">
        <f t="shared" si="18"/>
        <v>2</v>
      </c>
      <c r="P66" s="22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117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2">
        <f t="shared" si="18"/>
        <v>2</v>
      </c>
      <c r="P67" s="22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115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2">
        <f t="shared" si="18"/>
        <v>2</v>
      </c>
      <c r="P68" s="22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113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2">
        <f t="shared" si="18"/>
        <v>3</v>
      </c>
      <c r="P69" s="22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110</v>
      </c>
      <c r="U69" s="16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2">
        <f t="shared" si="18"/>
        <v>3</v>
      </c>
      <c r="P70" s="22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108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2">
        <f t="shared" si="18"/>
        <v>3</v>
      </c>
      <c r="P71" s="22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105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2">
        <f t="shared" si="18"/>
        <v>3</v>
      </c>
      <c r="P72" s="22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103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2">
        <f t="shared" si="18"/>
        <v>3</v>
      </c>
      <c r="P73" s="22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102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2">
        <f t="shared" si="18"/>
        <v>3</v>
      </c>
      <c r="P74" s="22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96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2">
        <f t="shared" si="18"/>
        <v>3</v>
      </c>
      <c r="P75" s="22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2">
        <f t="shared" si="18"/>
        <v>3</v>
      </c>
      <c r="P76" s="22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2">
        <f t="shared" si="18"/>
        <v>3</v>
      </c>
      <c r="P77" s="22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2">
        <f t="shared" si="18"/>
        <v>3</v>
      </c>
      <c r="P78" s="22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2">
        <f t="shared" si="18"/>
        <v>3</v>
      </c>
      <c r="P79" s="22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2">
        <f t="shared" si="18"/>
        <v>3</v>
      </c>
      <c r="P80" s="22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2">
        <f t="shared" si="18"/>
        <v>4</v>
      </c>
      <c r="P81" s="22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2">
        <f t="shared" si="18"/>
        <v>4</v>
      </c>
      <c r="P82" s="22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2">
        <f t="shared" si="18"/>
        <v>4</v>
      </c>
      <c r="P91" s="22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2">
        <f t="shared" si="18"/>
        <v>4</v>
      </c>
      <c r="P92" s="22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2">
        <f t="shared" si="18"/>
        <v>5</v>
      </c>
      <c r="P93" s="22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2">
        <f t="shared" si="18"/>
        <v>5</v>
      </c>
      <c r="P102" s="22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2">
        <f t="shared" si="18"/>
        <v>5</v>
      </c>
      <c r="P103" s="22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2">
        <f t="shared" si="18"/>
        <v>5</v>
      </c>
      <c r="P104" s="22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2">
        <f t="shared" si="18"/>
        <v>6</v>
      </c>
      <c r="P113" s="22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2">
        <f t="shared" si="18"/>
        <v>6</v>
      </c>
      <c r="P114" s="22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2">
        <f t="shared" si="18"/>
        <v>6</v>
      </c>
      <c r="P115" s="22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2">
        <f t="shared" si="18"/>
        <v>6</v>
      </c>
      <c r="P116" s="22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7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51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47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50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100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119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124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130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97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128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118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95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109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107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116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94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114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7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30</v>
      </c>
      <c r="L6" s="17">
        <f>L2-L5
</f>
        <v>1200</v>
      </c>
    </row>
    <row r="7">
      <c r="A7" s="7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39</v>
      </c>
      <c r="L10" s="12">
        <f>IF(L3&gt;1,L9/(L3-1),0)</f>
        <v>92.72727273</v>
      </c>
    </row>
    <row r="11">
      <c r="A11" s="7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42</v>
      </c>
      <c r="L11" s="19">
        <f>IF(L10&gt;0,L8/L10,1)</f>
        <v>1.941176471</v>
      </c>
    </row>
    <row r="12">
      <c r="A12" s="7">
        <v>11.0</v>
      </c>
      <c r="B12" s="11" t="s">
        <v>43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44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46</v>
      </c>
      <c r="L13" s="17">
        <f>SUMIF($D$2:$D$73,"",$C$2:$C$73)</f>
        <v>1200</v>
      </c>
    </row>
    <row r="14">
      <c r="A14" s="7">
        <v>13.0</v>
      </c>
      <c r="B14" s="11" t="s">
        <v>47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48</v>
      </c>
      <c r="L14" s="19">
        <f>IF(L13&gt;0,L6/L13,1)</f>
        <v>1</v>
      </c>
    </row>
    <row r="15">
      <c r="A15" s="7">
        <v>14.0</v>
      </c>
      <c r="B15" s="11" t="s">
        <v>50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51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52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54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55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56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94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95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97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98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99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100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101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104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106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107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109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111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112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114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116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118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119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121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123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124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126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127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128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129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130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132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133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134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