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<sst xmlns="http://schemas.openxmlformats.org/spreadsheetml/2006/main" count="312" uniqueCount="178">
  <si>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</si>
  <si>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</si>
  <si>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</si>
  <si>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</si>
  <si>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</si>
  <si>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</si>
  <si>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Final Price</t>
  </si>
  <si>
    <t>Mine?</t>
  </si>
  <si>
    <t>Inflated Fair Price</t>
  </si>
  <si>
    <t>New Values</t>
  </si>
  <si>
    <t>Spine</t>
  </si>
  <si>
    <t>My Max Bid</t>
  </si>
  <si>
    <t>Floors</t>
  </si>
  <si>
    <t>EnforceUpTo</t>
  </si>
  <si>
    <t>Fractions</t>
  </si>
  <si>
    <t>Monotone Rounded</t>
  </si>
  <si>
    <t>Value vs Fair</t>
  </si>
  <si>
    <t>Settings</t>
  </si>
  <si>
    <t>Final Dollar Per Pick</t>
  </si>
  <si>
    <t>Pick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</si>
  <si>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</si>
  <si>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</si>
  <si>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</si>
  <si>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</si>
  <si>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</si>
  <si>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</si>
  <si>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</si>
  <si>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</si>
  <si>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</si>
  <si>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</si>
  <si>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</si>
  <si>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</si>
  <si>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</si>
  <si>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</si>
  <si>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</si>
  <si>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</si>
  <si>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</si>
  <si>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</si>
  <si>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</si>
  <si>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</si>
  <si>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</si>
  <si>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</si>
  <si>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</si>
  <si>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Round 4</t>
  </si>
  <si>
    <t>Omar Cooper</t>
  </si>
  <si>
    <t>CJ Allen</t>
  </si>
  <si>
    <t>Undrafted Predraft$</t>
  </si>
  <si>
    <t>Round 5</t>
  </si>
  <si>
    <t>Arvell Reese</t>
  </si>
  <si>
    <t>Inflation Factor</t>
  </si>
  <si>
    <t>Round 6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</si>
  <si>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</si>
  <si>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</si>
  <si>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</si>
  <si>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</si>
  <si>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</si>
  <si>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</si>
  <si>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</si>
  <si>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</si>
  <si>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</si>
  <si>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</si>
  <si>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</si>
  <si>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</si>
  <si>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</si>
  <si>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</si>
  <si>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</si>
  <si>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</si>
  <si>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</si>
  <si>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</si>
  <si>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</si>
  <si>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</si>
  <si>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</si>
  <si>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</si>
  <si>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</si>
  <si>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</si>
  <si>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</si>
  <si>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</si>
  <si>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</si>
  <si>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</si>
  <si>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</si>
  <si>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</si>
  <si>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</si>
  <si>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</si>
  <si>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</si>
  <si>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</si>
  <si>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</si>
  <si>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</si>
  <si>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</si>
  <si>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</si>
  <si>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</si>
  <si>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</si>
  <si>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</si>
  <si>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</si>
  <si>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</si>
  <si>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</si>
  <si>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</si>
  <si>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</si>
  <si>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</si>
  <si>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</si>
  <si>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</si>
  <si>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</si>
  <si>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</si>
  <si>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</si>
  <si>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</si>
  <si>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</si>
  <si>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</si>
  <si>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</si>
  <si>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</si>
  <si>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Drew Allar</t>
  </si>
  <si>
    <t>Carson Beck</t>
  </si>
  <si>
    <t>Ed</t>
  </si>
  <si>
    <t>Joe Royer</t>
  </si>
  <si>
    <t>Sam Roush</t>
  </si>
  <si>
    <t>Tanner Koziol</t>
  </si>
  <si>
    <t>Jack Endries</t>
  </si>
  <si>
    <t>Matthew Hibner</t>
  </si>
  <si>
    <t>Tyren Montgomery</t>
  </si>
  <si>
    <t>Brent</t>
  </si>
  <si>
    <t>Bryce Lance</t>
  </si>
  <si>
    <t>Kevin Coleman</t>
  </si>
  <si>
    <t>Garrett Nussmeier</t>
  </si>
  <si>
    <t>Joey</t>
  </si>
  <si>
    <t>Nate Boerkircher</t>
  </si>
  <si>
    <t>Will Kacmarek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</si>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</sst>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3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12</v>
      </c>
      <c r="J1" s="8" t="s">
        <v>14</v>
      </c>
      <c r="K1" s="8" t="s">
        <v>15</v>
      </c>
      <c r="L1" s="9" t="s">
        <v>18</v>
      </c>
      <c r="M1" s="6">
        <v>12.0</v>
      </c>
      <c r="N1" s="10"/>
      <c r="O1" s="8" t="s">
        <v>19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8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8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8" t="s">
        <v>40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8" t="s">
        <v>43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8" t="s">
        <v>47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8" t="s">
        <v>50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8" t="s">
        <v>99</v>
      </c>
      <c r="P29" s="8" t="s">
        <v>100</v>
      </c>
      <c r="Q29" s="10"/>
      <c r="R29" s="8" t="s">
        <v>101</v>
      </c>
      <c r="S29" s="8" t="s">
        <v>102</v>
      </c>
      <c r="T29" s="8" t="s">
        <v>103</v>
      </c>
      <c r="U29" s="10"/>
      <c r="V29" s="8" t="s">
        <v>104</v>
      </c>
      <c r="W29" s="8" t="s">
        <v>105</v>
      </c>
      <c r="X29" s="8" t="s">
        <v>106</v>
      </c>
      <c r="Y29" s="8" t="s">
        <v>107</v>
      </c>
      <c r="Z29" s="10"/>
      <c r="AA29" s="10"/>
      <c r="AB29" s="10"/>
      <c r="AC29" s="10"/>
      <c r="AD29" s="10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6">
        <v>1.0</v>
      </c>
      <c r="P30" s="8" t="s">
        <v>110</v>
      </c>
      <c r="Q30" s="10"/>
      <c r="R30" s="6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6">
        <v>2.0</v>
      </c>
      <c r="P31" s="8" t="s">
        <v>117</v>
      </c>
      <c r="Q31" s="10"/>
      <c r="R31" s="6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6">
        <v>3.0</v>
      </c>
      <c r="P32" s="8" t="s">
        <v>121</v>
      </c>
      <c r="Q32" s="10"/>
      <c r="R32" s="6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6">
        <v>4.0</v>
      </c>
      <c r="P33" s="8" t="s">
        <v>125</v>
      </c>
      <c r="Q33" s="10"/>
      <c r="R33" s="6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6">
        <v>5.0</v>
      </c>
      <c r="P34" s="8" t="s">
        <v>126</v>
      </c>
      <c r="Q34" s="10"/>
      <c r="R34" s="6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6">
        <v>6.0</v>
      </c>
      <c r="P35" s="8" t="s">
        <v>127</v>
      </c>
      <c r="Q35" s="10"/>
      <c r="R35" s="6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6">
        <v>7.0</v>
      </c>
      <c r="P36" s="8" t="s">
        <v>128</v>
      </c>
      <c r="Q36" s="10"/>
      <c r="R36" s="6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6">
        <v>8.0</v>
      </c>
      <c r="P37" s="8" t="s">
        <v>129</v>
      </c>
      <c r="Q37" s="10"/>
      <c r="R37" s="6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6">
        <v>9.0</v>
      </c>
      <c r="P38" s="8" t="s">
        <v>130</v>
      </c>
      <c r="Q38" s="10"/>
      <c r="R38" s="6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6">
        <v>10.0</v>
      </c>
      <c r="P39" s="8" t="s">
        <v>131</v>
      </c>
      <c r="Q39" s="10"/>
      <c r="R39" s="6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6">
        <v>11.0</v>
      </c>
      <c r="P40" s="8" t="s">
        <v>132</v>
      </c>
      <c r="Q40" s="10"/>
      <c r="R40" s="6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6">
        <v>12.0</v>
      </c>
      <c r="P41" s="8" t="s">
        <v>133</v>
      </c>
      <c r="Q41" s="10"/>
      <c r="R41" s="6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8" t="s">
        <v>104</v>
      </c>
      <c r="P44" s="8" t="s">
        <v>19</v>
      </c>
      <c r="Q44" s="8" t="s">
        <v>134</v>
      </c>
      <c r="R44" s="8" t="s">
        <v>100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121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117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110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52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48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36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41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51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120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118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109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108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4</v>
      </c>
      <c r="C1" s="2" t="s">
        <v>5</v>
      </c>
      <c r="D1" s="2" t="s">
        <v>6</v>
      </c>
      <c r="E1" s="2" t="s">
        <v>7</v>
      </c>
      <c r="F1" s="5" t="s">
        <v>8</v>
      </c>
      <c r="G1" s="5" t="s">
        <v>11</v>
      </c>
      <c r="H1" s="5" t="s">
        <v>13</v>
      </c>
      <c r="I1" s="2" t="s">
        <v>16</v>
      </c>
      <c r="K1" s="2" t="s">
        <v>17</v>
      </c>
    </row>
    <row r="2">
      <c r="A2" s="2">
        <v>1.0</v>
      </c>
      <c r="B2" s="11" t="s">
        <v>20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1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5">
        <f>'Draft Data'!U63</f>
        <v>180</v>
      </c>
    </row>
    <row r="5">
      <c r="A5" s="2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35</v>
      </c>
      <c r="L8" s="12">
        <f>L4-L7
</f>
        <v>180</v>
      </c>
    </row>
    <row r="9">
      <c r="A9" s="2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2">
        <f>L6-L8
</f>
        <v>1020</v>
      </c>
    </row>
    <row r="10">
      <c r="A10" s="2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2">
        <f>IF(L3&gt;1,L9/(L3-1),0)</f>
        <v>92.72727273</v>
      </c>
    </row>
    <row r="11">
      <c r="A11" s="2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46</v>
      </c>
      <c r="L13" s="18">
        <f>SUMIF($D$2:$D$73,"",$C$2:$C$73)</f>
        <v>1200</v>
      </c>
    </row>
    <row r="14">
      <c r="A14" s="2">
        <v>13.0</v>
      </c>
      <c r="B14" s="11" t="s">
        <v>48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49</v>
      </c>
      <c r="L14" s="19">
        <f>IF(L13&gt;0,L6/L13,1)</f>
        <v>1</v>
      </c>
    </row>
    <row r="15">
      <c r="A15" s="2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53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1" t="s">
        <v>108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1" t="s">
        <v>109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1" t="s">
        <v>111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1" t="s">
        <v>112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1" t="s">
        <v>113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1" t="s">
        <v>114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1" t="s">
        <v>115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1" t="s">
        <v>116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1" t="s">
        <v>118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1" t="s">
        <v>119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1" t="s">
        <v>120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1" t="s">
        <v>122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1" t="s">
        <v>123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124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