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<sst xmlns="http://schemas.openxmlformats.org/spreadsheetml/2006/main" count="312" uniqueCount="178">
  <si>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</si>
  <si>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</si>
  <si>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</si>
  <si>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</si>
  <si>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</si>
  <si>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</si>
  <si>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</si>
  <si>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</si>
  <si>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</si>
  <si>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</si>
  <si>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</si>
  <si>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</si>
  <si>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</si>
  <si>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</si>
  <si>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</si>
  <si>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</si>
  <si>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</si>
  <si>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</si>
  <si>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</si>
  <si>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</si>
  <si>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</si>
  <si>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</si>
  <si>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</si>
  <si>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</si>
  <si>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</si>
  <si>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</si>
  <si>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</si>
  <si>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</si>
  <si>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</si>
  <si>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</si>
  <si>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</si>
  <si>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</si>
  <si>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</si>
  <si>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</si>
  <si>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</si>
  <si>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</si>
  <si>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</si>
  <si>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</si>
  <si>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Round 2</t>
  </si>
  <si>
    <t>Avg $ per Other Team</t>
  </si>
  <si>
    <t>Eli Stowers</t>
  </si>
  <si>
    <t>Round 3</t>
  </si>
  <si>
    <t>Budget Advantage Factor</t>
  </si>
  <si>
    <t>Omar Cooper</t>
  </si>
  <si>
    <t>CJ Allen</t>
  </si>
  <si>
    <t>Round 4</t>
  </si>
  <si>
    <t>Undrafted Predraft$</t>
  </si>
  <si>
    <t>Arvell Reese</t>
  </si>
  <si>
    <t>Inflation Factor</t>
  </si>
  <si>
    <t>Ty Simpson</t>
  </si>
  <si>
    <t>Denzel Boston</t>
  </si>
  <si>
    <t>Round 5</t>
  </si>
  <si>
    <t>Aggression</t>
  </si>
  <si>
    <t>Caleb Downs</t>
  </si>
  <si>
    <t>Round 6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</si>
  <si>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</si>
  <si>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</si>
  <si>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</si>
  <si>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</si>
  <si>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</si>
  <si>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</si>
  <si>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</si>
  <si>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</si>
  <si>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</si>
  <si>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</si>
  <si>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</si>
  <si>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</si>
  <si>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</si>
  <si>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</si>
  <si>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</si>
  <si>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</si>
  <si>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</si>
  <si>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</si>
  <si>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</si>
  <si>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</si>
  <si>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</si>
  <si>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</si>
  <si>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</si>
  <si>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</si>
  <si>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</si>
  <si>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</si>
  <si>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</si>
  <si>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</si>
  <si>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</si>
  <si>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</si>
  <si>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</si>
  <si>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</si>
  <si>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</si>
  <si>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</si>
  <si>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</si>
  <si>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</si>
  <si>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</si>
  <si>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</si>
  <si>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</si>
  <si>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</si>
  <si>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</si>
  <si>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</si>
  <si>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</si>
  <si>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</si>
  <si>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</si>
  <si>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</si>
  <si>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</si>
  <si>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</si>
  <si>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</si>
  <si>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</si>
  <si>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</si>
  <si>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</si>
  <si>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Cade Klubnik</t>
  </si>
  <si>
    <t>Ed</t>
  </si>
  <si>
    <t>Drew Allar</t>
  </si>
  <si>
    <t>Carson Beck</t>
  </si>
  <si>
    <t>Joe Royer</t>
  </si>
  <si>
    <t>Sam Roush</t>
  </si>
  <si>
    <t>Brent</t>
  </si>
  <si>
    <t>Tanner Koziol</t>
  </si>
  <si>
    <t>Joey</t>
  </si>
  <si>
    <t>Jack Endries</t>
  </si>
  <si>
    <t>Matthew Hibner</t>
  </si>
  <si>
    <t>MaKayla</t>
  </si>
  <si>
    <t>Tyren Montgomery</t>
  </si>
  <si>
    <t>Bryce Lance</t>
  </si>
  <si>
    <t>Ty</t>
  </si>
  <si>
    <t>Kevin Coleman</t>
  </si>
  <si>
    <t>Kich</t>
  </si>
  <si>
    <t>Garrett Nussmeier</t>
  </si>
  <si>
    <t>Nate Boerkircher</t>
  </si>
  <si>
    <t>Eric</t>
  </si>
  <si>
    <t>Will Kacmarek</t>
  </si>
  <si>
    <t>Collin</t>
  </si>
  <si>
    <t>Noah Whittington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</si>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</sst>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38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45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54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98</v>
      </c>
      <c r="P29" s="8" t="s">
        <v>99</v>
      </c>
      <c r="Q29" s="12"/>
      <c r="R29" s="8" t="s">
        <v>100</v>
      </c>
      <c r="S29" s="8" t="s">
        <v>101</v>
      </c>
      <c r="T29" s="8" t="s">
        <v>102</v>
      </c>
      <c r="U29" s="12"/>
      <c r="V29" s="8" t="s">
        <v>103</v>
      </c>
      <c r="W29" s="8" t="s">
        <v>104</v>
      </c>
      <c r="X29" s="8" t="s">
        <v>105</v>
      </c>
      <c r="Y29" s="8" t="s">
        <v>106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108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113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115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118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121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123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126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128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103</v>
      </c>
      <c r="P44" s="8" t="s">
        <v>20</v>
      </c>
      <c r="Q44" s="8" t="s">
        <v>134</v>
      </c>
      <c r="R44" s="8" t="s">
        <v>99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128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126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123</v>
      </c>
      <c r="U69" s="16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121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118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115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113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108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50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53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47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55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57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58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40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49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111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116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124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120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110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109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107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39</v>
      </c>
      <c r="L10" s="10">
        <f>IF(L3&gt;1,L9/(L3-1),0)</f>
        <v>92.72727273</v>
      </c>
    </row>
    <row r="11">
      <c r="A11" s="2">
        <v>10.0</v>
      </c>
      <c r="B11" s="9" t="s">
        <v>40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42</v>
      </c>
      <c r="L11" s="19">
        <f>IF(L10&gt;0,L8/L10,1)</f>
        <v>1.941176471</v>
      </c>
    </row>
    <row r="12">
      <c r="A12" s="2">
        <v>11.0</v>
      </c>
      <c r="B12" s="9" t="s">
        <v>43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44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46</v>
      </c>
      <c r="L13" s="17">
        <f>SUMIF($D$2:$D$73,"",$C$2:$C$73)</f>
        <v>1200</v>
      </c>
    </row>
    <row r="14">
      <c r="A14" s="2">
        <v>13.0</v>
      </c>
      <c r="B14" s="9" t="s">
        <v>47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48</v>
      </c>
      <c r="L14" s="19">
        <f>IF(L13&gt;0,L6/L13,1)</f>
        <v>1</v>
      </c>
    </row>
    <row r="15">
      <c r="A15" s="2">
        <v>14.0</v>
      </c>
      <c r="B15" s="9" t="s">
        <v>49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50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52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53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55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9" t="s">
        <v>57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58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59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60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107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109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110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111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112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114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116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117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119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120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122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124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125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127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129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