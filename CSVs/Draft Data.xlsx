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<sst xmlns="http://schemas.openxmlformats.org/spreadsheetml/2006/main" count="312" uniqueCount="178">
  <si>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</si>
  <si>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</si>
  <si>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</si>
  <si>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</si>
  <si>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</si>
  <si>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</si>
  <si>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PLAYER NAME</t>
  </si>
  <si>
    <t>PreDraft$</t>
  </si>
  <si>
    <t>Final Price</t>
  </si>
  <si>
    <t>Mine?</t>
  </si>
  <si>
    <t>Floors</t>
  </si>
  <si>
    <t>Inflated Fair Price</t>
  </si>
  <si>
    <t>Fractions</t>
  </si>
  <si>
    <t>Monotone Rounded</t>
  </si>
  <si>
    <t>Final Dollar Per Pick</t>
  </si>
  <si>
    <t>My Max Bid</t>
  </si>
  <si>
    <t>EnforceUpTo</t>
  </si>
  <si>
    <t>Value vs Fair</t>
  </si>
  <si>
    <t>Pick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</si>
  <si>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</si>
  <si>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</si>
  <si>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</si>
  <si>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</si>
  <si>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</si>
  <si>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</si>
  <si>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</si>
  <si>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</si>
  <si>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</si>
  <si>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</si>
  <si>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</si>
  <si>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</si>
  <si>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</si>
  <si>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</si>
  <si>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</si>
  <si>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</si>
  <si>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</si>
  <si>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</si>
  <si>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</si>
  <si>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</si>
  <si>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</si>
  <si>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</si>
  <si>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</si>
  <si>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</si>
  <si>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</si>
  <si>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</si>
  <si>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</si>
  <si>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</si>
  <si>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</si>
  <si>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</si>
  <si>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Ty Simpson</t>
  </si>
  <si>
    <t>Round 5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</si>
  <si>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</si>
  <si>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</si>
  <si>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</si>
  <si>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</si>
  <si>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</si>
  <si>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</si>
  <si>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</si>
  <si>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</si>
  <si>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</si>
  <si>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</si>
  <si>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</si>
  <si>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</si>
  <si>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</si>
  <si>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</si>
  <si>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</si>
  <si>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</si>
  <si>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</si>
  <si>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</si>
  <si>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</si>
  <si>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</si>
  <si>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</si>
  <si>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</si>
  <si>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</si>
  <si>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</si>
  <si>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</si>
  <si>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</si>
  <si>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</si>
  <si>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</si>
  <si>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</si>
  <si>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</si>
  <si>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</si>
  <si>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</si>
  <si>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</si>
  <si>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</si>
  <si>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</si>
  <si>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</si>
  <si>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</si>
  <si>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</si>
  <si>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</si>
  <si>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</si>
  <si>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</si>
  <si>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</si>
  <si>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</si>
  <si>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Standings</t>
  </si>
  <si>
    <t>Owner</t>
  </si>
  <si>
    <t>Pick #</t>
  </si>
  <si>
    <t>Override Owner</t>
  </si>
  <si>
    <t>Owner (Final)</t>
  </si>
  <si>
    <t>Justin Joly</t>
  </si>
  <si>
    <t>Round</t>
  </si>
  <si>
    <t>Original Owner</t>
  </si>
  <si>
    <t>New Owner</t>
  </si>
  <si>
    <t>Key</t>
  </si>
  <si>
    <t>Eli Raridon</t>
  </si>
  <si>
    <t>Ed</t>
  </si>
  <si>
    <t>DJ Rogers</t>
  </si>
  <si>
    <t>Lake McRee</t>
  </si>
  <si>
    <t>Cade Klubnik</t>
  </si>
  <si>
    <t>Drew Allar</t>
  </si>
  <si>
    <t>Brent</t>
  </si>
  <si>
    <t>Carson Beck</t>
  </si>
  <si>
    <t>Joe Royer</t>
  </si>
  <si>
    <t>Joey</t>
  </si>
  <si>
    <t>Sam Roush</t>
  </si>
  <si>
    <t>Tanner Koziol</t>
  </si>
  <si>
    <t>MaKayla</t>
  </si>
  <si>
    <t>Jack Endries</t>
  </si>
  <si>
    <t>Matthew Hibner</t>
  </si>
  <si>
    <t>Ty</t>
  </si>
  <si>
    <t>Tyren Montgomery</t>
  </si>
  <si>
    <t>Bryce Lance</t>
  </si>
  <si>
    <t>Kich</t>
  </si>
  <si>
    <t>Kevin Coleman</t>
  </si>
  <si>
    <t>Eric</t>
  </si>
  <si>
    <t>Garrett Nussmeier</t>
  </si>
  <si>
    <t>Nate Boerkircher</t>
  </si>
  <si>
    <t>Collin</t>
  </si>
  <si>
    <t>Will Kacmarek</t>
  </si>
  <si>
    <t>Noah Whittington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</si>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</sst>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12</v>
      </c>
      <c r="K1" s="7" t="s">
        <v>13</v>
      </c>
      <c r="L1" s="9" t="s">
        <v>14</v>
      </c>
      <c r="M1" s="5">
        <v>12.0</v>
      </c>
      <c r="N1" s="10"/>
      <c r="O1" s="7" t="s">
        <v>18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7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7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8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7" t="s">
        <v>40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8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7" t="s">
        <v>45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8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7" t="s">
        <v>50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8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7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8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8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7" t="s">
        <v>94</v>
      </c>
      <c r="P29" s="7" t="s">
        <v>95</v>
      </c>
      <c r="Q29" s="10"/>
      <c r="R29" s="7" t="s">
        <v>96</v>
      </c>
      <c r="S29" s="7" t="s">
        <v>97</v>
      </c>
      <c r="T29" s="7" t="s">
        <v>98</v>
      </c>
      <c r="U29" s="10"/>
      <c r="V29" s="7" t="s">
        <v>100</v>
      </c>
      <c r="W29" s="7" t="s">
        <v>101</v>
      </c>
      <c r="X29" s="7" t="s">
        <v>102</v>
      </c>
      <c r="Y29" s="7" t="s">
        <v>103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7" t="s">
        <v>105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7" t="s">
        <v>110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7" t="s">
        <v>113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7" t="s">
        <v>116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7" t="s">
        <v>119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7" t="s">
        <v>122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7" t="s">
        <v>124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7" t="s">
        <v>127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7" t="s">
        <v>100</v>
      </c>
      <c r="P44" s="7" t="s">
        <v>18</v>
      </c>
      <c r="Q44" s="7" t="s">
        <v>134</v>
      </c>
      <c r="R44" s="7" t="s">
        <v>95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127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124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122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119</v>
      </c>
      <c r="U70" s="15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116</v>
      </c>
      <c r="U71" s="15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113</v>
      </c>
      <c r="U72" s="15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110</v>
      </c>
      <c r="U73" s="15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105</v>
      </c>
      <c r="U74" s="15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3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51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47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36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41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49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112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117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125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121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111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104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99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109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108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3</v>
      </c>
      <c r="B1" s="4" t="s">
        <v>6</v>
      </c>
      <c r="C1" s="4" t="s">
        <v>7</v>
      </c>
      <c r="D1" s="4" t="s">
        <v>8</v>
      </c>
      <c r="E1" s="4" t="s">
        <v>9</v>
      </c>
      <c r="F1" s="8" t="s">
        <v>11</v>
      </c>
      <c r="G1" s="8" t="s">
        <v>15</v>
      </c>
      <c r="H1" s="8" t="s">
        <v>16</v>
      </c>
      <c r="I1" s="4" t="s">
        <v>17</v>
      </c>
      <c r="K1" s="4" t="s">
        <v>19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4" t="s">
        <v>28</v>
      </c>
      <c r="L5" s="18">
        <f>SUM($D$2:$D$500)
</f>
        <v>0</v>
      </c>
    </row>
    <row r="6">
      <c r="A6" s="4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4" t="s">
        <v>30</v>
      </c>
      <c r="L6" s="18">
        <f>L2-L5
</f>
        <v>1200</v>
      </c>
    </row>
    <row r="7">
      <c r="A7" s="4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4" t="s">
        <v>32</v>
      </c>
      <c r="L7" s="18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4" t="s">
        <v>35</v>
      </c>
      <c r="L8" s="12">
        <f>L4-L7
</f>
        <v>180</v>
      </c>
    </row>
    <row r="9">
      <c r="A9" s="4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4" t="s">
        <v>37</v>
      </c>
      <c r="L9" s="12">
        <f>L6-L8
</f>
        <v>1020</v>
      </c>
    </row>
    <row r="10">
      <c r="A10" s="4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4" t="s">
        <v>39</v>
      </c>
      <c r="L10" s="12">
        <f>IF(L3&gt;1,L9/(L3-1),0)</f>
        <v>92.72727273</v>
      </c>
    </row>
    <row r="11">
      <c r="A11" s="4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4" t="s">
        <v>42</v>
      </c>
      <c r="L11" s="19">
        <f>IF(L10&gt;0,L8/L10,1)</f>
        <v>1.941176471</v>
      </c>
    </row>
    <row r="12">
      <c r="A12" s="4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4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4" t="s">
        <v>46</v>
      </c>
      <c r="L13" s="18">
        <f>SUMIF($D$2:$D$73,"",$C$2:$C$73)</f>
        <v>1200</v>
      </c>
    </row>
    <row r="14">
      <c r="A14" s="4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4" t="s">
        <v>48</v>
      </c>
      <c r="L14" s="19">
        <f>IF(L13&gt;0,L6/L13,1)</f>
        <v>1</v>
      </c>
    </row>
    <row r="15">
      <c r="A15" s="4">
        <v>14.0</v>
      </c>
      <c r="B15" s="11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4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4" t="s">
        <v>52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4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4" t="s">
        <v>56</v>
      </c>
      <c r="L18" s="20">
        <f>L5/L2</f>
        <v>0</v>
      </c>
    </row>
    <row r="19">
      <c r="A19" s="4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4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4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4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4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4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4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4">
        <v>54.0</v>
      </c>
      <c r="B55" s="11" t="s">
        <v>99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4">
        <v>55.0</v>
      </c>
      <c r="B56" s="11" t="s">
        <v>104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4">
        <v>56.0</v>
      </c>
      <c r="B57" s="11" t="s">
        <v>106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4">
        <v>57.0</v>
      </c>
      <c r="B58" s="11" t="s">
        <v>107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4">
        <v>58.0</v>
      </c>
      <c r="B59" s="11" t="s">
        <v>108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4">
        <v>59.0</v>
      </c>
      <c r="B60" s="11" t="s">
        <v>109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4">
        <v>60.0</v>
      </c>
      <c r="B61" s="11" t="s">
        <v>111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4">
        <v>61.0</v>
      </c>
      <c r="B62" s="11" t="s">
        <v>112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4">
        <v>62.0</v>
      </c>
      <c r="B63" s="11" t="s">
        <v>114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4">
        <v>63.0</v>
      </c>
      <c r="B64" s="11" t="s">
        <v>115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4">
        <v>64.0</v>
      </c>
      <c r="B65" s="11" t="s">
        <v>117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4">
        <v>65.0</v>
      </c>
      <c r="B66" s="11" t="s">
        <v>118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4">
        <v>66.0</v>
      </c>
      <c r="B67" s="11" t="s">
        <v>120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4">
        <v>67.0</v>
      </c>
      <c r="B68" s="11" t="s">
        <v>121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4">
        <v>68.0</v>
      </c>
      <c r="B69" s="11" t="s">
        <v>123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4">
        <v>69.0</v>
      </c>
      <c r="B70" s="11" t="s">
        <v>125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4">
        <v>70.0</v>
      </c>
      <c r="B71" s="11" t="s">
        <v>126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4">
        <v>71.0</v>
      </c>
      <c r="B72" s="11" t="s">
        <v>128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4">
        <v>72.0</v>
      </c>
      <c r="B73" s="4" t="s">
        <v>129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