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<sst xmlns="http://schemas.openxmlformats.org/spreadsheetml/2006/main" count="312" uniqueCount="178">
  <si>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</si>
  <si>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</si>
  <si>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</si>
  <si>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</si>
  <si>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</si>
  <si>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</si>
  <si>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</si>
  <si>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</si>
  <si>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</si>
  <si>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</si>
  <si>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</si>
  <si>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</si>
  <si>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</si>
  <si>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</si>
  <si>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</si>
  <si>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</si>
  <si>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</si>
  <si>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</si>
  <si>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</si>
  <si>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</si>
  <si>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</si>
  <si>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</si>
  <si>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</si>
  <si>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</si>
  <si>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</si>
  <si>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</si>
  <si>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</si>
  <si>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</si>
  <si>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</si>
  <si>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</si>
  <si>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</si>
  <si>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</si>
  <si>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</si>
  <si>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</si>
  <si>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2</t>
  </si>
  <si>
    <t>My Remaining</t>
  </si>
  <si>
    <t>KC Concepcion</t>
  </si>
  <si>
    <t>Other Teams Remaining</t>
  </si>
  <si>
    <t>Jadarian Price</t>
  </si>
  <si>
    <t>Round 3</t>
  </si>
  <si>
    <t>Avg $ per Other Team</t>
  </si>
  <si>
    <t>Eli Stowers</t>
  </si>
  <si>
    <t>Budget Advantage Factor</t>
  </si>
  <si>
    <t>Round 4</t>
  </si>
  <si>
    <t>Omar Cooper</t>
  </si>
  <si>
    <t>CJ Allen</t>
  </si>
  <si>
    <t>Undrafted Predraft$</t>
  </si>
  <si>
    <t>Arvell Reese</t>
  </si>
  <si>
    <t>Inflation Factor</t>
  </si>
  <si>
    <t>Round 5</t>
  </si>
  <si>
    <t>Ty Simpson</t>
  </si>
  <si>
    <t>Denzel Boston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</si>
  <si>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</si>
  <si>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</si>
  <si>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</si>
  <si>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</si>
  <si>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</si>
  <si>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</si>
  <si>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</si>
  <si>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</si>
  <si>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</si>
  <si>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</si>
  <si>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</si>
  <si>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</si>
  <si>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</si>
  <si>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</si>
  <si>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</si>
  <si>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</si>
  <si>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</si>
  <si>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</si>
  <si>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</si>
  <si>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</si>
  <si>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</si>
  <si>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</si>
  <si>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</si>
  <si>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</si>
  <si>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</si>
  <si>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</si>
  <si>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</si>
  <si>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</si>
  <si>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</si>
  <si>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</si>
  <si>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</si>
  <si>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</si>
  <si>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</si>
  <si>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</si>
  <si>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</si>
  <si>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</si>
  <si>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</si>
  <si>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</si>
  <si>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</si>
  <si>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</si>
  <si>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</si>
  <si>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</si>
  <si>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</si>
  <si>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</si>
  <si>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</si>
  <si>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</si>
  <si>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</si>
  <si>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</si>
  <si>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</si>
  <si>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</si>
  <si>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</si>
  <si>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</si>
  <si>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Eli Raridon</t>
  </si>
  <si>
    <t>DJ Rogers</t>
  </si>
  <si>
    <t>Lake McRee</t>
  </si>
  <si>
    <t>Ed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</si>
  <si>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</si>
  <si>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</si>
  <si>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</si>
  <si>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</si>
  <si>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</si>
  <si>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</si>
  <si>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</si>
  <si>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</si>
  <si>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</si>
  <si>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Brent</t>
  </si>
  <si>
    <t>Bryce Lance</t>
  </si>
  <si>
    <t>Kevin Coleman</t>
  </si>
  <si>
    <t>Garrett Nussmeier</t>
  </si>
  <si>
    <t>Joey</t>
  </si>
  <si>
    <t>Nate Boerkircher</t>
  </si>
  <si>
    <t>Will Kacmarek</t>
  </si>
  <si>
    <t>Noah Whittington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</si>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</sst>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8"/>
      <c r="N2" s="8"/>
      <c r="O2" s="6" t="s">
        <v>26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8"/>
      <c r="N3" s="8"/>
      <c r="O3" s="6" t="s">
        <v>34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8"/>
      <c r="N4" s="8"/>
      <c r="O4" s="6" t="s">
        <v>39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8"/>
      <c r="N5" s="8"/>
      <c r="O5" s="6" t="s">
        <v>43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8"/>
      <c r="N6" s="8"/>
      <c r="O6" s="6" t="s">
        <v>49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8"/>
      <c r="N7" s="8"/>
      <c r="O7" s="6" t="s">
        <v>53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8"/>
      <c r="N8" s="8"/>
      <c r="O8" s="8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8"/>
      <c r="N10" s="8"/>
      <c r="O10" s="8"/>
      <c r="P10" s="15"/>
      <c r="Q10" s="15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8"/>
      <c r="N11" s="8"/>
      <c r="O11" s="8"/>
      <c r="P11" s="15"/>
      <c r="Q11" s="15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8"/>
      <c r="N12" s="8"/>
      <c r="O12" s="8"/>
      <c r="P12" s="15"/>
      <c r="Q12" s="15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8"/>
      <c r="N13" s="8"/>
      <c r="O13" s="8"/>
      <c r="P13" s="15"/>
      <c r="Q13" s="15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8"/>
      <c r="N14" s="8"/>
      <c r="O14" s="8"/>
      <c r="P14" s="15"/>
      <c r="Q14" s="15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8"/>
      <c r="N15" s="8"/>
      <c r="O15" s="8"/>
      <c r="P15" s="15"/>
      <c r="Q15" s="15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8"/>
      <c r="N16" s="8"/>
      <c r="O16" s="8"/>
      <c r="P16" s="15"/>
      <c r="Q16" s="15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8"/>
      <c r="N29" s="8"/>
      <c r="O29" s="6" t="s">
        <v>95</v>
      </c>
      <c r="P29" s="6" t="s">
        <v>96</v>
      </c>
      <c r="Q29" s="8"/>
      <c r="R29" s="6" t="s">
        <v>97</v>
      </c>
      <c r="S29" s="6" t="s">
        <v>98</v>
      </c>
      <c r="T29" s="6" t="s">
        <v>99</v>
      </c>
      <c r="U29" s="8"/>
      <c r="V29" s="6" t="s">
        <v>100</v>
      </c>
      <c r="W29" s="6" t="s">
        <v>101</v>
      </c>
      <c r="X29" s="6" t="s">
        <v>102</v>
      </c>
      <c r="Y29" s="6" t="s">
        <v>103</v>
      </c>
      <c r="Z29" s="8"/>
      <c r="AA29" s="8"/>
      <c r="AB29" s="8"/>
      <c r="AC29" s="8"/>
      <c r="AD29" s="8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8"/>
      <c r="N30" s="8"/>
      <c r="O30" s="4">
        <v>1.0</v>
      </c>
      <c r="P30" s="6" t="s">
        <v>107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1"/>
      <c r="W30" s="21"/>
      <c r="X30" s="11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8"/>
      <c r="N31" s="8"/>
      <c r="O31" s="4">
        <v>2.0</v>
      </c>
      <c r="P31" s="6" t="s">
        <v>117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1"/>
      <c r="X31" s="11"/>
      <c r="Y31" s="8" t="str">
        <f t="shared" si="17"/>
        <v>0|</v>
      </c>
      <c r="Z31" s="8"/>
      <c r="AA31" s="8"/>
      <c r="AB31" s="8"/>
      <c r="AC31" s="8"/>
      <c r="AD31" s="8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8"/>
      <c r="N32" s="8"/>
      <c r="O32" s="4">
        <v>3.0</v>
      </c>
      <c r="P32" s="6" t="s">
        <v>121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1"/>
      <c r="X32" s="11"/>
      <c r="Y32" s="8" t="str">
        <f t="shared" si="17"/>
        <v>0|</v>
      </c>
      <c r="Z32" s="8"/>
      <c r="AA32" s="8"/>
      <c r="AB32" s="8"/>
      <c r="AC32" s="8"/>
      <c r="AD32" s="8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1"/>
      <c r="X33" s="11"/>
      <c r="Y33" s="8" t="str">
        <f t="shared" si="17"/>
        <v>0|</v>
      </c>
      <c r="Z33" s="8"/>
      <c r="AA33" s="8"/>
      <c r="AB33" s="8"/>
      <c r="AC33" s="8"/>
      <c r="AD33" s="8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1"/>
      <c r="X34" s="11"/>
      <c r="Y34" s="8" t="str">
        <f t="shared" si="17"/>
        <v>0|</v>
      </c>
      <c r="Z34" s="8"/>
      <c r="AA34" s="8"/>
      <c r="AB34" s="8"/>
      <c r="AC34" s="8"/>
      <c r="AD34" s="8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1"/>
      <c r="X35" s="11"/>
      <c r="Y35" s="8" t="str">
        <f t="shared" si="17"/>
        <v>0|</v>
      </c>
      <c r="Z35" s="8"/>
      <c r="AA35" s="8"/>
      <c r="AB35" s="8"/>
      <c r="AC35" s="8"/>
      <c r="AD35" s="8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1"/>
      <c r="X36" s="11"/>
      <c r="Y36" s="8" t="str">
        <f t="shared" si="17"/>
        <v>0|</v>
      </c>
      <c r="Z36" s="8"/>
      <c r="AA36" s="8"/>
      <c r="AB36" s="8"/>
      <c r="AC36" s="8"/>
      <c r="AD36" s="8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1"/>
      <c r="X37" s="11"/>
      <c r="Y37" s="8" t="str">
        <f t="shared" si="17"/>
        <v>0|</v>
      </c>
      <c r="Z37" s="8"/>
      <c r="AA37" s="8"/>
      <c r="AB37" s="8"/>
      <c r="AC37" s="8"/>
      <c r="AD37" s="8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1"/>
      <c r="X38" s="11"/>
      <c r="Y38" s="8" t="str">
        <f t="shared" si="17"/>
        <v>0|</v>
      </c>
      <c r="Z38" s="8"/>
      <c r="AA38" s="8"/>
      <c r="AB38" s="8"/>
      <c r="AC38" s="8"/>
      <c r="AD38" s="8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1"/>
      <c r="X39" s="11"/>
      <c r="Y39" s="8" t="str">
        <f t="shared" si="17"/>
        <v>0|</v>
      </c>
      <c r="Z39" s="8"/>
      <c r="AA39" s="8"/>
      <c r="AB39" s="8"/>
      <c r="AC39" s="8"/>
      <c r="AD39" s="8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1"/>
      <c r="X40" s="11"/>
      <c r="Y40" s="8" t="str">
        <f t="shared" si="17"/>
        <v>0|</v>
      </c>
      <c r="Z40" s="8"/>
      <c r="AA40" s="8"/>
      <c r="AB40" s="8"/>
      <c r="AC40" s="8"/>
      <c r="AD40" s="8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1"/>
      <c r="X41" s="11"/>
      <c r="Y41" s="8" t="str">
        <f t="shared" si="17"/>
        <v>0|</v>
      </c>
      <c r="Z41" s="8"/>
      <c r="AA41" s="8"/>
      <c r="AB41" s="8"/>
      <c r="AC41" s="8"/>
      <c r="AD41" s="8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1"/>
      <c r="X42" s="11"/>
      <c r="Y42" s="8" t="str">
        <f t="shared" si="17"/>
        <v>0|</v>
      </c>
      <c r="Z42" s="8"/>
      <c r="AA42" s="8"/>
      <c r="AB42" s="8"/>
      <c r="AC42" s="8"/>
      <c r="AD42" s="8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1"/>
      <c r="X43" s="11"/>
      <c r="Y43" s="8" t="str">
        <f t="shared" si="17"/>
        <v>0|</v>
      </c>
      <c r="Z43" s="8"/>
      <c r="AA43" s="8"/>
      <c r="AB43" s="8"/>
      <c r="AC43" s="8"/>
      <c r="AD43" s="8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8"/>
      <c r="N44" s="8"/>
      <c r="O44" s="6" t="s">
        <v>100</v>
      </c>
      <c r="P44" s="6" t="s">
        <v>9</v>
      </c>
      <c r="Q44" s="6" t="s">
        <v>134</v>
      </c>
      <c r="R44" s="6" t="s">
        <v>96</v>
      </c>
      <c r="S44" s="8"/>
      <c r="T44" s="8"/>
      <c r="U44" s="8"/>
      <c r="V44" s="5"/>
      <c r="W44" s="11"/>
      <c r="X44" s="11"/>
      <c r="Y44" s="8" t="str">
        <f t="shared" si="17"/>
        <v>0|</v>
      </c>
      <c r="Z44" s="8"/>
      <c r="AA44" s="8"/>
      <c r="AB44" s="8"/>
      <c r="AC44" s="8"/>
      <c r="AD44" s="8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1"/>
      <c r="X45" s="11"/>
      <c r="Y45" s="8" t="str">
        <f t="shared" si="17"/>
        <v>0|</v>
      </c>
      <c r="Z45" s="8"/>
      <c r="AA45" s="8"/>
      <c r="AB45" s="8"/>
      <c r="AC45" s="8"/>
      <c r="AD45" s="8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1"/>
      <c r="X46" s="11"/>
      <c r="Y46" s="8" t="str">
        <f t="shared" si="17"/>
        <v>0|</v>
      </c>
      <c r="Z46" s="8"/>
      <c r="AA46" s="8"/>
      <c r="AB46" s="8"/>
      <c r="AC46" s="8"/>
      <c r="AD46" s="8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1"/>
      <c r="X47" s="11"/>
      <c r="Y47" s="8" t="str">
        <f t="shared" si="17"/>
        <v>0|</v>
      </c>
      <c r="Z47" s="8"/>
      <c r="AA47" s="8"/>
      <c r="AB47" s="8"/>
      <c r="AC47" s="8"/>
      <c r="AD47" s="8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1"/>
      <c r="X48" s="11"/>
      <c r="Y48" s="8" t="str">
        <f t="shared" si="17"/>
        <v>0|</v>
      </c>
      <c r="Z48" s="8"/>
      <c r="AA48" s="8"/>
      <c r="AB48" s="8"/>
      <c r="AC48" s="8"/>
      <c r="AD48" s="8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1"/>
      <c r="X49" s="11"/>
      <c r="Y49" s="8" t="str">
        <f t="shared" si="17"/>
        <v>0|</v>
      </c>
      <c r="Z49" s="8"/>
      <c r="AA49" s="8"/>
      <c r="AB49" s="8"/>
      <c r="AC49" s="8"/>
      <c r="AD49" s="8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1"/>
      <c r="X50" s="11"/>
      <c r="Y50" s="8" t="str">
        <f t="shared" si="17"/>
        <v>0|</v>
      </c>
      <c r="Z50" s="8"/>
      <c r="AA50" s="8"/>
      <c r="AB50" s="8"/>
      <c r="AC50" s="8"/>
      <c r="AD50" s="8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1"/>
      <c r="X51" s="11"/>
      <c r="Y51" s="8" t="str">
        <f t="shared" si="17"/>
        <v>0|</v>
      </c>
      <c r="Z51" s="8"/>
      <c r="AA51" s="8"/>
      <c r="AB51" s="8"/>
      <c r="AC51" s="8"/>
      <c r="AD51" s="8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1"/>
      <c r="X52" s="11"/>
      <c r="Y52" s="8" t="str">
        <f t="shared" si="17"/>
        <v>0|</v>
      </c>
      <c r="Z52" s="8"/>
      <c r="AA52" s="8"/>
      <c r="AB52" s="8"/>
      <c r="AC52" s="8"/>
      <c r="AD52" s="8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1"/>
      <c r="X53" s="11"/>
      <c r="Y53" s="8" t="str">
        <f t="shared" si="17"/>
        <v>0|</v>
      </c>
      <c r="Z53" s="8"/>
      <c r="AA53" s="8"/>
      <c r="AB53" s="8"/>
      <c r="AC53" s="8"/>
      <c r="AD53" s="8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1"/>
      <c r="X54" s="11"/>
      <c r="Y54" s="8" t="str">
        <f t="shared" si="17"/>
        <v>0|</v>
      </c>
      <c r="Z54" s="8"/>
      <c r="AA54" s="8"/>
      <c r="AB54" s="8"/>
      <c r="AC54" s="8"/>
      <c r="AD54" s="8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1"/>
      <c r="X55" s="11"/>
      <c r="Y55" s="8" t="str">
        <f t="shared" si="17"/>
        <v>0|</v>
      </c>
      <c r="Z55" s="8"/>
      <c r="AA55" s="8"/>
      <c r="AB55" s="8"/>
      <c r="AC55" s="8"/>
      <c r="AD55" s="8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1"/>
      <c r="X56" s="11"/>
      <c r="Y56" s="8" t="str">
        <f t="shared" si="17"/>
        <v>0|</v>
      </c>
      <c r="Z56" s="8"/>
      <c r="AA56" s="8"/>
      <c r="AB56" s="8"/>
      <c r="AC56" s="8"/>
      <c r="AD56" s="8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1"/>
      <c r="X57" s="11"/>
      <c r="Y57" s="8" t="str">
        <f t="shared" si="17"/>
        <v>0|</v>
      </c>
      <c r="Z57" s="8"/>
      <c r="AA57" s="8"/>
      <c r="AB57" s="8"/>
      <c r="AC57" s="8"/>
      <c r="AD57" s="8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8" t="str">
        <f t="shared" si="21"/>
        <v>Blaine</v>
      </c>
      <c r="S58" s="8"/>
      <c r="T58" s="8"/>
      <c r="U58" s="8"/>
      <c r="V58" s="21"/>
      <c r="W58" s="21"/>
      <c r="X58" s="11"/>
      <c r="Y58" s="8" t="str">
        <f t="shared" si="17"/>
        <v>0|</v>
      </c>
      <c r="Z58" s="8"/>
      <c r="AA58" s="8"/>
      <c r="AB58" s="8"/>
      <c r="AC58" s="8"/>
      <c r="AD58" s="8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8" t="str">
        <f t="shared" si="21"/>
        <v>Jason</v>
      </c>
      <c r="S59" s="8"/>
      <c r="T59" s="8"/>
      <c r="U59" s="8"/>
      <c r="V59" s="21"/>
      <c r="W59" s="21"/>
      <c r="X59" s="11"/>
      <c r="Y59" s="8" t="str">
        <f t="shared" si="17"/>
        <v>0|</v>
      </c>
      <c r="Z59" s="8"/>
      <c r="AA59" s="8"/>
      <c r="AB59" s="8"/>
      <c r="AC59" s="8"/>
      <c r="AD59" s="8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8" t="str">
        <f t="shared" si="21"/>
        <v>Roy</v>
      </c>
      <c r="S60" s="8"/>
      <c r="T60" s="8"/>
      <c r="U60" s="8"/>
      <c r="V60" s="21"/>
      <c r="W60" s="21"/>
      <c r="X60" s="11"/>
      <c r="Y60" s="8" t="str">
        <f t="shared" si="17"/>
        <v>0|</v>
      </c>
      <c r="Z60" s="8"/>
      <c r="AA60" s="8"/>
      <c r="AB60" s="8"/>
      <c r="AC60" s="8"/>
      <c r="AD60" s="8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1"/>
      <c r="X61" s="11"/>
      <c r="Y61" s="8" t="str">
        <f t="shared" si="17"/>
        <v>0|</v>
      </c>
      <c r="Z61" s="8"/>
      <c r="AA61" s="8"/>
      <c r="AB61" s="8"/>
      <c r="AC61" s="8"/>
      <c r="AD61" s="8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1"/>
      <c r="W62" s="11"/>
      <c r="X62" s="11"/>
      <c r="Y62" s="8" t="str">
        <f t="shared" si="17"/>
        <v>0|</v>
      </c>
      <c r="Z62" s="8"/>
      <c r="AA62" s="8"/>
      <c r="AB62" s="8"/>
      <c r="AC62" s="8"/>
      <c r="AD62" s="8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8" t="str">
        <f t="shared" si="21"/>
        <v>Kich</v>
      </c>
      <c r="S63" s="8"/>
      <c r="T63" s="8" t="s">
        <v>133</v>
      </c>
      <c r="U63" s="15">
        <f t="shared" ref="U63:U74" si="22">SUMIF($R$45:$R$116, T63, $Q$45:$Q$116)</f>
        <v>180</v>
      </c>
      <c r="V63" s="11"/>
      <c r="W63" s="11"/>
      <c r="X63" s="11"/>
      <c r="Y63" s="8" t="str">
        <f t="shared" si="17"/>
        <v>0|</v>
      </c>
      <c r="Z63" s="8"/>
      <c r="AA63" s="8"/>
      <c r="AB63" s="8"/>
      <c r="AC63" s="8"/>
      <c r="AD63" s="8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8" t="str">
        <f t="shared" si="21"/>
        <v>Ty</v>
      </c>
      <c r="S64" s="8"/>
      <c r="T64" s="8" t="s">
        <v>132</v>
      </c>
      <c r="U64" s="15">
        <f t="shared" si="22"/>
        <v>144.5</v>
      </c>
      <c r="V64" s="21"/>
      <c r="W64" s="21"/>
      <c r="X64" s="11"/>
      <c r="Y64" s="8" t="str">
        <f t="shared" si="17"/>
        <v>0|</v>
      </c>
      <c r="Z64" s="8"/>
      <c r="AA64" s="8"/>
      <c r="AB64" s="8"/>
      <c r="AC64" s="8"/>
      <c r="AD64" s="8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8" t="str">
        <f t="shared" si="21"/>
        <v>MaKayla</v>
      </c>
      <c r="S65" s="8"/>
      <c r="T65" s="6" t="s">
        <v>131</v>
      </c>
      <c r="U65" s="15">
        <f t="shared" si="22"/>
        <v>132.5</v>
      </c>
      <c r="V65" s="11"/>
      <c r="W65" s="11"/>
      <c r="X65" s="11"/>
      <c r="Y65" s="8" t="str">
        <f t="shared" si="17"/>
        <v>0|</v>
      </c>
      <c r="Z65" s="8"/>
      <c r="AA65" s="8"/>
      <c r="AB65" s="8"/>
      <c r="AC65" s="8"/>
      <c r="AD65" s="8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8" t="str">
        <f t="shared" si="21"/>
        <v>Joey</v>
      </c>
      <c r="S66" s="8"/>
      <c r="T66" s="8" t="s">
        <v>130</v>
      </c>
      <c r="U66" s="15">
        <f t="shared" si="22"/>
        <v>117.5</v>
      </c>
      <c r="V66" s="5"/>
      <c r="W66" s="11"/>
      <c r="X66" s="11"/>
      <c r="Y66" s="8" t="str">
        <f t="shared" si="17"/>
        <v>0|</v>
      </c>
      <c r="Z66" s="8"/>
      <c r="AA66" s="8"/>
      <c r="AB66" s="8"/>
      <c r="AC66" s="8"/>
      <c r="AD66" s="8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8" t="str">
        <f t="shared" si="21"/>
        <v>Brent</v>
      </c>
      <c r="S67" s="8"/>
      <c r="T67" s="8" t="s">
        <v>129</v>
      </c>
      <c r="U67" s="15">
        <f t="shared" si="22"/>
        <v>109.5</v>
      </c>
      <c r="V67" s="5"/>
      <c r="W67" s="11"/>
      <c r="X67" s="11"/>
      <c r="Y67" s="8" t="str">
        <f t="shared" si="17"/>
        <v>0|</v>
      </c>
      <c r="Z67" s="8"/>
      <c r="AA67" s="8"/>
      <c r="AB67" s="8"/>
      <c r="AC67" s="8"/>
      <c r="AD67" s="8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8" t="str">
        <f t="shared" si="21"/>
        <v>Ed</v>
      </c>
      <c r="S68" s="8"/>
      <c r="T68" s="8" t="s">
        <v>128</v>
      </c>
      <c r="U68" s="15">
        <f t="shared" si="22"/>
        <v>99.5</v>
      </c>
      <c r="V68" s="5"/>
      <c r="W68" s="11"/>
      <c r="X68" s="11"/>
      <c r="Y68" s="8" t="str">
        <f t="shared" si="17"/>
        <v>0|</v>
      </c>
      <c r="Z68" s="8"/>
      <c r="AA68" s="8"/>
      <c r="AB68" s="8"/>
      <c r="AC68" s="8"/>
      <c r="AD68" s="8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8" t="str">
        <f t="shared" si="21"/>
        <v>Joel</v>
      </c>
      <c r="S69" s="8"/>
      <c r="T69" s="8" t="s">
        <v>127</v>
      </c>
      <c r="U69" s="15">
        <f t="shared" si="22"/>
        <v>83</v>
      </c>
      <c r="V69" s="21"/>
      <c r="W69" s="21"/>
      <c r="X69" s="11"/>
      <c r="Y69" s="8" t="str">
        <f t="shared" si="17"/>
        <v>0|</v>
      </c>
      <c r="Z69" s="8"/>
      <c r="AA69" s="8"/>
      <c r="AB69" s="8"/>
      <c r="AC69" s="8"/>
      <c r="AD69" s="8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5">
        <f t="shared" si="20"/>
        <v>9</v>
      </c>
      <c r="R70" s="8" t="str">
        <f t="shared" si="21"/>
        <v>Blaine</v>
      </c>
      <c r="S70" s="8"/>
      <c r="T70" s="8" t="s">
        <v>126</v>
      </c>
      <c r="U70" s="15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5">
        <f t="shared" si="20"/>
        <v>7</v>
      </c>
      <c r="R71" s="8" t="str">
        <f t="shared" si="21"/>
        <v>Jason</v>
      </c>
      <c r="S71" s="8"/>
      <c r="T71" s="8" t="s">
        <v>125</v>
      </c>
      <c r="U71" s="15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5">
        <f t="shared" si="20"/>
        <v>7</v>
      </c>
      <c r="R72" s="8" t="str">
        <f t="shared" si="21"/>
        <v>Roy</v>
      </c>
      <c r="S72" s="8"/>
      <c r="T72" s="8" t="s">
        <v>121</v>
      </c>
      <c r="U72" s="15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8" t="str">
        <f t="shared" si="21"/>
        <v>Collin</v>
      </c>
      <c r="S73" s="8"/>
      <c r="T73" s="8" t="s">
        <v>117</v>
      </c>
      <c r="U73" s="15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8" t="str">
        <f t="shared" si="21"/>
        <v>Eric</v>
      </c>
      <c r="S74" s="8"/>
      <c r="T74" s="8" t="s">
        <v>107</v>
      </c>
      <c r="U74" s="15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1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8" t="str">
        <f t="shared" si="21"/>
        <v>Kich</v>
      </c>
      <c r="S75" s="8"/>
      <c r="T75" s="8"/>
      <c r="U75" s="15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1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1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1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8" t="str">
        <f t="shared" si="21"/>
        <v>Brent</v>
      </c>
      <c r="S79" s="8"/>
      <c r="T79" s="8"/>
      <c r="U79" s="15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1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8" t="str">
        <f t="shared" si="21"/>
        <v>Ed</v>
      </c>
      <c r="S80" s="8"/>
      <c r="T80" s="8"/>
      <c r="U80" s="15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1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8" t="str">
        <f t="shared" si="21"/>
        <v>Joel</v>
      </c>
      <c r="S81" s="8"/>
      <c r="T81" s="8"/>
      <c r="U81" s="15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1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8" t="str">
        <f t="shared" si="21"/>
        <v>Blaine</v>
      </c>
      <c r="S82" s="8"/>
      <c r="T82" s="8"/>
      <c r="U82" s="15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1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8" t="str">
        <f t="shared" si="21"/>
        <v>Jason</v>
      </c>
      <c r="S83" s="8"/>
      <c r="T83" s="8"/>
      <c r="U83" s="15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1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8" t="str">
        <f t="shared" si="21"/>
        <v>Roy</v>
      </c>
      <c r="S84" s="8"/>
      <c r="T84" s="8"/>
      <c r="U84" s="15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8" t="str">
        <f t="shared" si="21"/>
        <v>Collin</v>
      </c>
      <c r="S85" s="8"/>
      <c r="T85" s="8"/>
      <c r="U85" s="15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1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8" t="str">
        <f t="shared" si="21"/>
        <v>Eric</v>
      </c>
      <c r="S86" s="8"/>
      <c r="T86" s="8"/>
      <c r="U86" s="15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1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8" t="str">
        <f t="shared" si="21"/>
        <v>Kich</v>
      </c>
      <c r="S87" s="8"/>
      <c r="T87" s="8"/>
      <c r="U87" s="15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1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8" t="str">
        <f t="shared" si="21"/>
        <v>Ty</v>
      </c>
      <c r="S88" s="8"/>
      <c r="T88" s="8"/>
      <c r="U88" s="15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1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8" t="str">
        <f t="shared" si="21"/>
        <v>MaKayla</v>
      </c>
      <c r="S89" s="8"/>
      <c r="T89" s="8"/>
      <c r="U89" s="15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1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8" t="str">
        <f t="shared" si="21"/>
        <v>Joey</v>
      </c>
      <c r="S90" s="8"/>
      <c r="T90" s="8"/>
      <c r="U90" s="15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1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1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1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5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1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1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1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1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1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1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1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1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1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5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1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1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1" t="s">
        <v>10</v>
      </c>
      <c r="X139" s="11" t="s">
        <v>138</v>
      </c>
      <c r="Y139" s="11" t="s">
        <v>139</v>
      </c>
      <c r="Z139" s="11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1">
        <v>1.0</v>
      </c>
      <c r="X140" s="11" t="s">
        <v>20</v>
      </c>
      <c r="Y140" s="11" t="s">
        <v>140</v>
      </c>
      <c r="Z140" s="11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1">
        <v>3.0</v>
      </c>
      <c r="X141" s="11" t="s">
        <v>22</v>
      </c>
      <c r="Y141" s="11" t="s">
        <v>141</v>
      </c>
      <c r="Z141" s="11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1">
        <v>4.0</v>
      </c>
      <c r="X142" s="11" t="s">
        <v>24</v>
      </c>
      <c r="Y142" s="11" t="s">
        <v>142</v>
      </c>
      <c r="Z142" s="11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1">
        <v>5.0</v>
      </c>
      <c r="X143" s="11" t="s">
        <v>29</v>
      </c>
      <c r="Y143" s="11" t="s">
        <v>141</v>
      </c>
      <c r="Z143" s="11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1">
        <v>6.0</v>
      </c>
      <c r="X144" s="11" t="s">
        <v>27</v>
      </c>
      <c r="Y144" s="11" t="s">
        <v>141</v>
      </c>
      <c r="Z144" s="11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1">
        <v>7.0</v>
      </c>
      <c r="X145" s="11" t="s">
        <v>33</v>
      </c>
      <c r="Y145" s="11" t="s">
        <v>143</v>
      </c>
      <c r="Z145" s="11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1">
        <v>8.0</v>
      </c>
      <c r="X146" s="11" t="s">
        <v>31</v>
      </c>
      <c r="Y146" s="11" t="s">
        <v>144</v>
      </c>
      <c r="Z146" s="11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1">
        <v>9.0</v>
      </c>
      <c r="X147" s="11" t="s">
        <v>51</v>
      </c>
      <c r="Y147" s="11" t="s">
        <v>141</v>
      </c>
      <c r="Z147" s="11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1">
        <v>10.0</v>
      </c>
      <c r="X148" s="11" t="s">
        <v>54</v>
      </c>
      <c r="Y148" s="11" t="s">
        <v>145</v>
      </c>
      <c r="Z148" s="11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1">
        <v>11.0</v>
      </c>
      <c r="X149" s="11" t="s">
        <v>47</v>
      </c>
      <c r="Y149" s="11" t="s">
        <v>143</v>
      </c>
      <c r="Z149" s="11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1">
        <v>12.0</v>
      </c>
      <c r="X150" s="11" t="s">
        <v>55</v>
      </c>
      <c r="Y150" s="11" t="s">
        <v>146</v>
      </c>
      <c r="Z150" s="11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1">
        <v>13.0</v>
      </c>
      <c r="X151" s="11" t="s">
        <v>147</v>
      </c>
      <c r="Y151" s="11" t="s">
        <v>146</v>
      </c>
      <c r="Z151" s="11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1">
        <v>14.0</v>
      </c>
      <c r="X152" s="11" t="s">
        <v>148</v>
      </c>
      <c r="Y152" s="11" t="s">
        <v>143</v>
      </c>
      <c r="Z152" s="11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1">
        <v>15.0</v>
      </c>
      <c r="X153" s="11" t="s">
        <v>36</v>
      </c>
      <c r="Y153" s="11" t="s">
        <v>141</v>
      </c>
      <c r="Z153" s="11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1">
        <v>16.0</v>
      </c>
      <c r="X154" s="11" t="s">
        <v>57</v>
      </c>
      <c r="Y154" s="11" t="s">
        <v>143</v>
      </c>
      <c r="Z154" s="11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1">
        <v>17.0</v>
      </c>
      <c r="X155" s="11" t="s">
        <v>58</v>
      </c>
      <c r="Y155" s="11" t="s">
        <v>140</v>
      </c>
      <c r="Z155" s="11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1">
        <v>18.0</v>
      </c>
      <c r="X156" s="11" t="s">
        <v>60</v>
      </c>
      <c r="Y156" s="11" t="s">
        <v>145</v>
      </c>
      <c r="Z156" s="11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1">
        <v>19.0</v>
      </c>
      <c r="X157" s="11" t="s">
        <v>83</v>
      </c>
      <c r="Y157" s="11" t="s">
        <v>145</v>
      </c>
      <c r="Z157" s="11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1">
        <v>20.0</v>
      </c>
      <c r="X158" s="11" t="s">
        <v>38</v>
      </c>
      <c r="Y158" s="11" t="s">
        <v>140</v>
      </c>
      <c r="Z158" s="11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1">
        <v>21.0</v>
      </c>
      <c r="X159" s="11" t="s">
        <v>149</v>
      </c>
      <c r="Y159" s="11" t="s">
        <v>141</v>
      </c>
      <c r="Z159" s="11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1">
        <v>22.0</v>
      </c>
      <c r="X160" s="11" t="s">
        <v>41</v>
      </c>
      <c r="Y160" s="11" t="s">
        <v>144</v>
      </c>
      <c r="Z160" s="11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1">
        <v>23.0</v>
      </c>
      <c r="X161" s="11" t="s">
        <v>50</v>
      </c>
      <c r="Y161" s="11" t="s">
        <v>142</v>
      </c>
      <c r="Z161" s="11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1">
        <v>24.0</v>
      </c>
      <c r="X162" s="11" t="s">
        <v>68</v>
      </c>
      <c r="Y162" s="11" t="s">
        <v>141</v>
      </c>
      <c r="Z162" s="11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1">
        <v>25.0</v>
      </c>
      <c r="X163" s="11" t="s">
        <v>69</v>
      </c>
      <c r="Y163" s="11" t="s">
        <v>140</v>
      </c>
      <c r="Z163" s="11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1">
        <v>26.0</v>
      </c>
      <c r="X164" s="11" t="s">
        <v>64</v>
      </c>
      <c r="Y164" s="11" t="s">
        <v>140</v>
      </c>
      <c r="Z164" s="11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1">
        <v>27.0</v>
      </c>
      <c r="X165" s="11" t="s">
        <v>150</v>
      </c>
      <c r="Y165" s="11" t="s">
        <v>142</v>
      </c>
      <c r="Z165" s="11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1">
        <v>28.0</v>
      </c>
      <c r="X166" s="11" t="s">
        <v>151</v>
      </c>
      <c r="Y166" s="11" t="s">
        <v>141</v>
      </c>
      <c r="Z166" s="11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1">
        <v>29.0</v>
      </c>
      <c r="X167" s="11" t="s">
        <v>59</v>
      </c>
      <c r="Y167" s="11" t="s">
        <v>143</v>
      </c>
      <c r="Z167" s="11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1">
        <v>30.0</v>
      </c>
      <c r="X168" s="11" t="s">
        <v>62</v>
      </c>
      <c r="Y168" s="11" t="s">
        <v>141</v>
      </c>
      <c r="Z168" s="11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1">
        <v>31.0</v>
      </c>
      <c r="X169" s="11" t="s">
        <v>72</v>
      </c>
      <c r="Y169" s="11" t="s">
        <v>141</v>
      </c>
      <c r="Z169" s="11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1">
        <v>32.0</v>
      </c>
      <c r="X170" s="11" t="s">
        <v>152</v>
      </c>
      <c r="Y170" s="11" t="s">
        <v>140</v>
      </c>
      <c r="Z170" s="11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1">
        <v>33.0</v>
      </c>
      <c r="X171" s="11" t="s">
        <v>74</v>
      </c>
      <c r="Y171" s="11" t="s">
        <v>141</v>
      </c>
      <c r="Z171" s="11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1">
        <v>34.0</v>
      </c>
      <c r="X172" s="11" t="s">
        <v>90</v>
      </c>
      <c r="Y172" s="11" t="s">
        <v>146</v>
      </c>
      <c r="Z172" s="11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1">
        <v>35.0</v>
      </c>
      <c r="X173" s="11" t="s">
        <v>81</v>
      </c>
      <c r="Y173" s="11" t="s">
        <v>143</v>
      </c>
      <c r="Z173" s="11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1">
        <v>36.0</v>
      </c>
      <c r="X174" s="11" t="s">
        <v>111</v>
      </c>
      <c r="Y174" s="11" t="s">
        <v>144</v>
      </c>
      <c r="Z174" s="11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1">
        <v>37.0</v>
      </c>
      <c r="X175" s="11" t="s">
        <v>153</v>
      </c>
      <c r="Y175" s="11" t="s">
        <v>143</v>
      </c>
      <c r="Z175" s="11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1">
        <v>38.0</v>
      </c>
      <c r="X176" s="11" t="s">
        <v>63</v>
      </c>
      <c r="Y176" s="11" t="s">
        <v>141</v>
      </c>
      <c r="Z176" s="11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1">
        <v>39.0</v>
      </c>
      <c r="X177" s="11" t="s">
        <v>71</v>
      </c>
      <c r="Y177" s="11" t="s">
        <v>144</v>
      </c>
      <c r="Z177" s="11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1">
        <v>40.0</v>
      </c>
      <c r="X178" s="11" t="s">
        <v>77</v>
      </c>
      <c r="Y178" s="11" t="s">
        <v>141</v>
      </c>
      <c r="Z178" s="11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1">
        <v>41.0</v>
      </c>
      <c r="X179" s="11" t="s">
        <v>67</v>
      </c>
      <c r="Y179" s="11" t="s">
        <v>141</v>
      </c>
      <c r="Z179" s="11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1">
        <v>42.0</v>
      </c>
      <c r="X180" s="11" t="s">
        <v>75</v>
      </c>
      <c r="Y180" s="11" t="s">
        <v>140</v>
      </c>
      <c r="Z180" s="11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1">
        <v>43.0</v>
      </c>
      <c r="X181" s="11" t="s">
        <v>114</v>
      </c>
      <c r="Y181" s="11" t="s">
        <v>144</v>
      </c>
      <c r="Z181" s="11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1">
        <v>44.0</v>
      </c>
      <c r="X182" s="11" t="s">
        <v>120</v>
      </c>
      <c r="Y182" s="11" t="s">
        <v>142</v>
      </c>
      <c r="Z182" s="11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1">
        <v>45.0</v>
      </c>
      <c r="X183" s="11" t="s">
        <v>87</v>
      </c>
      <c r="Y183" s="11" t="s">
        <v>140</v>
      </c>
      <c r="Z183" s="11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1">
        <v>46.0</v>
      </c>
      <c r="X184" s="11" t="s">
        <v>118</v>
      </c>
      <c r="Y184" s="11" t="s">
        <v>141</v>
      </c>
      <c r="Z184" s="11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1">
        <v>47.0</v>
      </c>
      <c r="X185" s="11" t="s">
        <v>79</v>
      </c>
      <c r="Y185" s="11" t="s">
        <v>141</v>
      </c>
      <c r="Z185" s="11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1">
        <v>48.0</v>
      </c>
      <c r="X186" s="11" t="s">
        <v>154</v>
      </c>
      <c r="Y186" s="11" t="s">
        <v>141</v>
      </c>
      <c r="Z186" s="11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1">
        <v>49.0</v>
      </c>
      <c r="X187" s="11" t="s">
        <v>155</v>
      </c>
      <c r="Y187" s="11" t="s">
        <v>140</v>
      </c>
      <c r="Z187" s="11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1">
        <v>50.0</v>
      </c>
      <c r="X188" s="11" t="s">
        <v>110</v>
      </c>
      <c r="Y188" s="11" t="s">
        <v>142</v>
      </c>
      <c r="Z188" s="11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1">
        <v>51.0</v>
      </c>
      <c r="X189" s="11" t="s">
        <v>156</v>
      </c>
      <c r="Y189" s="11" t="s">
        <v>140</v>
      </c>
      <c r="Z189" s="11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1">
        <v>52.0</v>
      </c>
      <c r="X190" s="11" t="s">
        <v>157</v>
      </c>
      <c r="Y190" s="11" t="s">
        <v>140</v>
      </c>
      <c r="Z190" s="11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1">
        <v>53.0</v>
      </c>
      <c r="X191" s="11" t="s">
        <v>86</v>
      </c>
      <c r="Y191" s="11" t="s">
        <v>144</v>
      </c>
      <c r="Z191" s="11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1">
        <v>54.0</v>
      </c>
      <c r="X192" s="11" t="s">
        <v>158</v>
      </c>
      <c r="Y192" s="11" t="s">
        <v>141</v>
      </c>
      <c r="Z192" s="11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1">
        <v>55.0</v>
      </c>
      <c r="X193" s="11" t="s">
        <v>76</v>
      </c>
      <c r="Y193" s="11" t="s">
        <v>141</v>
      </c>
      <c r="Z193" s="11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1">
        <v>56.0</v>
      </c>
      <c r="X194" s="11" t="s">
        <v>159</v>
      </c>
      <c r="Y194" s="11" t="s">
        <v>140</v>
      </c>
      <c r="Z194" s="11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1">
        <v>57.0</v>
      </c>
      <c r="X195" s="11" t="s">
        <v>160</v>
      </c>
      <c r="Y195" s="11" t="s">
        <v>141</v>
      </c>
      <c r="Z195" s="11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1">
        <v>58.0</v>
      </c>
      <c r="X196" s="11" t="s">
        <v>161</v>
      </c>
      <c r="Y196" s="11" t="s">
        <v>141</v>
      </c>
      <c r="Z196" s="11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1">
        <v>59.0</v>
      </c>
      <c r="X197" s="11" t="s">
        <v>162</v>
      </c>
      <c r="Y197" s="11" t="s">
        <v>141</v>
      </c>
      <c r="Z197" s="11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1">
        <v>60.0</v>
      </c>
      <c r="X198" s="11" t="s">
        <v>104</v>
      </c>
      <c r="Y198" s="11" t="s">
        <v>144</v>
      </c>
      <c r="Z198" s="11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1">
        <v>61.0</v>
      </c>
      <c r="X199" s="11" t="s">
        <v>163</v>
      </c>
      <c r="Y199" s="11" t="s">
        <v>140</v>
      </c>
      <c r="Z199" s="11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1">
        <v>62.0</v>
      </c>
      <c r="X200" s="11" t="s">
        <v>94</v>
      </c>
      <c r="Y200" s="11" t="s">
        <v>144</v>
      </c>
      <c r="Z200" s="11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1">
        <v>63.0</v>
      </c>
      <c r="X201" s="11" t="s">
        <v>164</v>
      </c>
      <c r="Y201" s="11" t="s">
        <v>140</v>
      </c>
      <c r="Z201" s="11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1">
        <v>64.0</v>
      </c>
      <c r="X202" s="11" t="s">
        <v>165</v>
      </c>
      <c r="Y202" s="11" t="s">
        <v>142</v>
      </c>
      <c r="Z202" s="11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1">
        <v>65.0</v>
      </c>
      <c r="X203" s="11" t="s">
        <v>109</v>
      </c>
      <c r="Y203" s="11" t="s">
        <v>142</v>
      </c>
      <c r="Z203" s="11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1">
        <v>66.0</v>
      </c>
      <c r="X204" s="11" t="s">
        <v>85</v>
      </c>
      <c r="Y204" s="11" t="s">
        <v>144</v>
      </c>
      <c r="Z204" s="11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1">
        <v>67.0</v>
      </c>
      <c r="X205" s="11" t="s">
        <v>166</v>
      </c>
      <c r="Y205" s="11" t="s">
        <v>141</v>
      </c>
      <c r="Z205" s="11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1">
        <v>68.0</v>
      </c>
      <c r="X206" s="11" t="s">
        <v>167</v>
      </c>
      <c r="Y206" s="11" t="s">
        <v>140</v>
      </c>
      <c r="Z206" s="11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1">
        <v>69.0</v>
      </c>
      <c r="X207" s="11" t="s">
        <v>168</v>
      </c>
      <c r="Y207" s="11" t="s">
        <v>144</v>
      </c>
      <c r="Z207" s="11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1">
        <v>70.0</v>
      </c>
      <c r="X208" s="11" t="s">
        <v>169</v>
      </c>
      <c r="Y208" s="11" t="s">
        <v>141</v>
      </c>
      <c r="Z208" s="11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1">
        <v>71.0</v>
      </c>
      <c r="X209" s="11" t="s">
        <v>170</v>
      </c>
      <c r="Y209" s="11" t="s">
        <v>141</v>
      </c>
      <c r="Z209" s="11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1">
        <v>72.0</v>
      </c>
      <c r="X210" s="11" t="s">
        <v>171</v>
      </c>
      <c r="Y210" s="11" t="s">
        <v>141</v>
      </c>
      <c r="Z210" s="11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1">
        <v>73.0</v>
      </c>
      <c r="X211" s="11" t="s">
        <v>172</v>
      </c>
      <c r="Y211" s="11" t="s">
        <v>141</v>
      </c>
      <c r="Z211" s="11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1">
        <v>74.0</v>
      </c>
      <c r="X212" s="11" t="s">
        <v>108</v>
      </c>
      <c r="Y212" s="11" t="s">
        <v>142</v>
      </c>
      <c r="Z212" s="11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1">
        <v>75.0</v>
      </c>
      <c r="X213" s="11" t="s">
        <v>173</v>
      </c>
      <c r="Y213" s="11" t="s">
        <v>141</v>
      </c>
      <c r="Z213" s="11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1">
        <v>76.0</v>
      </c>
      <c r="X214" s="11" t="s">
        <v>174</v>
      </c>
      <c r="Y214" s="11" t="s">
        <v>142</v>
      </c>
      <c r="Z214" s="11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1">
        <v>78.0</v>
      </c>
      <c r="X215" s="11" t="s">
        <v>175</v>
      </c>
      <c r="Y215" s="11" t="s">
        <v>141</v>
      </c>
      <c r="Z215" s="11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1">
        <v>79.0</v>
      </c>
      <c r="X216" s="11" t="s">
        <v>176</v>
      </c>
      <c r="Y216" s="11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1">
        <v>80.0</v>
      </c>
      <c r="X217" s="11" t="s">
        <v>177</v>
      </c>
      <c r="Y217" s="11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2"/>
      <c r="C1001" s="12"/>
      <c r="D1001" s="12"/>
      <c r="E1001" s="12"/>
      <c r="L1001" s="26"/>
      <c r="V1001" s="8"/>
      <c r="W1001" s="8"/>
      <c r="X1001" s="8"/>
      <c r="Y1001" s="8"/>
    </row>
    <row r="1002">
      <c r="A1002" s="12"/>
      <c r="C1002" s="12"/>
      <c r="D1002" s="12"/>
      <c r="E1002" s="12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1" t="s">
        <v>20</v>
      </c>
      <c r="C2" s="12">
        <v>139.0</v>
      </c>
      <c r="D2" s="9"/>
      <c r="E2" s="9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1" t="s">
        <v>22</v>
      </c>
      <c r="C3" s="12">
        <v>106.5</v>
      </c>
      <c r="D3" s="9"/>
      <c r="E3" s="9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9" t="s">
        <v>23</v>
      </c>
      <c r="L3" s="9">
        <v>12.0</v>
      </c>
    </row>
    <row r="4">
      <c r="A4" s="9">
        <v>3.0</v>
      </c>
      <c r="B4" s="11" t="s">
        <v>24</v>
      </c>
      <c r="C4" s="12">
        <v>93.0</v>
      </c>
      <c r="D4" s="9"/>
      <c r="E4" s="9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9" t="s">
        <v>25</v>
      </c>
      <c r="L4" s="10">
        <f>'Draft Data'!U63</f>
        <v>180</v>
      </c>
    </row>
    <row r="5">
      <c r="A5" s="9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9" t="s">
        <v>28</v>
      </c>
      <c r="L5" s="18">
        <f>SUM($D$2:$D$500)
</f>
        <v>0</v>
      </c>
    </row>
    <row r="6">
      <c r="A6" s="9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9" t="s">
        <v>30</v>
      </c>
      <c r="L6" s="18">
        <f>L2-L5
</f>
        <v>1200</v>
      </c>
    </row>
    <row r="7">
      <c r="A7" s="9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9" t="s">
        <v>32</v>
      </c>
      <c r="L7" s="18">
        <f>SUMIF($E$2:$E$500,TRUE,$D$2:$D$500)</f>
        <v>0</v>
      </c>
    </row>
    <row r="8">
      <c r="A8" s="9">
        <v>7.0</v>
      </c>
      <c r="B8" s="11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9" t="s">
        <v>35</v>
      </c>
      <c r="L8" s="12">
        <f>L4-L7
</f>
        <v>180</v>
      </c>
    </row>
    <row r="9">
      <c r="A9" s="9">
        <v>8.0</v>
      </c>
      <c r="B9" s="11" t="s">
        <v>36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9" t="s">
        <v>37</v>
      </c>
      <c r="L9" s="12">
        <f>L6-L8
</f>
        <v>1020</v>
      </c>
    </row>
    <row r="10">
      <c r="A10" s="9">
        <v>9.0</v>
      </c>
      <c r="B10" s="11" t="s">
        <v>38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9" t="s">
        <v>40</v>
      </c>
      <c r="L10" s="12">
        <f>IF(L3&gt;1,L9/(L3-1),0)</f>
        <v>92.72727273</v>
      </c>
    </row>
    <row r="11">
      <c r="A11" s="9">
        <v>10.0</v>
      </c>
      <c r="B11" s="11" t="s">
        <v>41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9" t="s">
        <v>42</v>
      </c>
      <c r="L11" s="19">
        <f>IF(L10&gt;0,L8/L10,1)</f>
        <v>1.941176471</v>
      </c>
    </row>
    <row r="12">
      <c r="A12" s="9">
        <v>11.0</v>
      </c>
      <c r="B12" s="11" t="s">
        <v>44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9">
        <v>12.0</v>
      </c>
      <c r="B13" s="11" t="s">
        <v>45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9" t="s">
        <v>46</v>
      </c>
      <c r="L13" s="18">
        <f>SUMIF($D$2:$D$73,"",$C$2:$C$73)</f>
        <v>1200</v>
      </c>
    </row>
    <row r="14">
      <c r="A14" s="9">
        <v>13.0</v>
      </c>
      <c r="B14" s="11" t="s">
        <v>47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9" t="s">
        <v>48</v>
      </c>
      <c r="L14" s="19">
        <f>IF(L13&gt;0,L6/L13,1)</f>
        <v>1</v>
      </c>
    </row>
    <row r="15">
      <c r="A15" s="9">
        <v>14.0</v>
      </c>
      <c r="B15" s="11" t="s">
        <v>50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9">
        <v>15.0</v>
      </c>
      <c r="B16" s="11" t="s">
        <v>51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9" t="s">
        <v>52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1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9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9" t="s">
        <v>56</v>
      </c>
      <c r="L18" s="20">
        <f>L5/L2</f>
        <v>0</v>
      </c>
    </row>
    <row r="19">
      <c r="A19" s="9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9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9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9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9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9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9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9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9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9" t="s">
        <v>66</v>
      </c>
      <c r="L27" s="9">
        <v>0.8</v>
      </c>
    </row>
    <row r="28">
      <c r="A28" s="9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9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9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9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9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9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9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9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9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9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9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9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9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9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9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9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9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9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9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9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9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9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9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9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9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9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9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9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9">
        <v>55.0</v>
      </c>
      <c r="B56" s="11" t="s">
        <v>104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9">
        <v>56.0</v>
      </c>
      <c r="B57" s="11" t="s">
        <v>105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9">
        <v>57.0</v>
      </c>
      <c r="B58" s="11" t="s">
        <v>106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9">
        <v>58.0</v>
      </c>
      <c r="B59" s="11" t="s">
        <v>108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9">
        <v>59.0</v>
      </c>
      <c r="B60" s="11" t="s">
        <v>109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9">
        <v>60.0</v>
      </c>
      <c r="B61" s="11" t="s">
        <v>110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9">
        <v>61.0</v>
      </c>
      <c r="B62" s="11" t="s">
        <v>111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9">
        <v>62.0</v>
      </c>
      <c r="B63" s="11" t="s">
        <v>112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9">
        <v>63.0</v>
      </c>
      <c r="B64" s="11" t="s">
        <v>113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9">
        <v>64.0</v>
      </c>
      <c r="B65" s="11" t="s">
        <v>114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9">
        <v>65.0</v>
      </c>
      <c r="B66" s="11" t="s">
        <v>115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9">
        <v>66.0</v>
      </c>
      <c r="B67" s="11" t="s">
        <v>116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9">
        <v>67.0</v>
      </c>
      <c r="B68" s="11" t="s">
        <v>118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9">
        <v>68.0</v>
      </c>
      <c r="B69" s="11" t="s">
        <v>119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9">
        <v>69.0</v>
      </c>
      <c r="B70" s="11" t="s">
        <v>120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9">
        <v>70.0</v>
      </c>
      <c r="B71" s="11" t="s">
        <v>122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9">
        <v>71.0</v>
      </c>
      <c r="B72" s="11" t="s">
        <v>123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9">
        <v>72.0</v>
      </c>
      <c r="B73" s="9" t="s">
        <v>124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