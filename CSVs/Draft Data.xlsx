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<sst xmlns="http://schemas.openxmlformats.org/spreadsheetml/2006/main" count="312" uniqueCount="178">
  <si>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</si>
  <si>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</si>
  <si>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</si>
  <si>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</si>
  <si>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</si>
  <si>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</si>
  <si>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</si>
  <si>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</si>
  <si>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</si>
  <si>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</si>
  <si>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</si>
  <si>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</si>
  <si>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</si>
  <si>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</si>
  <si>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</si>
  <si>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</si>
  <si>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</si>
  <si>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</si>
  <si>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</si>
  <si>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</si>
  <si>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</si>
  <si>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</si>
  <si>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</si>
  <si>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</si>
  <si>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</si>
  <si>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</si>
  <si>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</si>
  <si>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</si>
  <si>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</si>
  <si>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</si>
  <si>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</si>
  <si>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</si>
  <si>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</si>
  <si>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</si>
  <si>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</si>
  <si>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</si>
  <si>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</si>
  <si>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</si>
  <si>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</si>
  <si>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</si>
  <si>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</si>
  <si>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</si>
  <si>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</si>
  <si>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</si>
  <si>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CJ Allen</t>
  </si>
  <si>
    <t>Undrafted Predraft$</t>
  </si>
  <si>
    <t>Round 4</t>
  </si>
  <si>
    <t>Arvell Reese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</si>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</sst>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23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34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9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40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9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46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9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52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9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55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9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9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50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53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47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54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36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38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41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49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21</v>
      </c>
      <c r="L2" s="11">
        <v>1200.0</v>
      </c>
    </row>
    <row r="3">
      <c r="A3" s="11">
        <v>2.0</v>
      </c>
      <c r="B3" s="12" t="s">
        <v>22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1" t="s">
        <v>24</v>
      </c>
      <c r="L3" s="11">
        <v>12.0</v>
      </c>
    </row>
    <row r="4">
      <c r="A4" s="11">
        <v>3.0</v>
      </c>
      <c r="B4" s="12" t="s">
        <v>25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11" t="s">
        <v>26</v>
      </c>
      <c r="L4" s="10">
        <f>'Draft Data'!U63</f>
        <v>180</v>
      </c>
    </row>
    <row r="5">
      <c r="A5" s="11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11" t="s">
        <v>30</v>
      </c>
      <c r="L6" s="18">
        <f>L2-L5
</f>
        <v>1200</v>
      </c>
    </row>
    <row r="7">
      <c r="A7" s="11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11" t="s">
        <v>32</v>
      </c>
      <c r="L7" s="18">
        <f>SUMIF($E$2:$E$500,TRUE,$D$2:$D$500)</f>
        <v>0</v>
      </c>
    </row>
    <row r="8">
      <c r="A8" s="11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11" t="s">
        <v>35</v>
      </c>
      <c r="L8" s="13">
        <f>L4-L7
</f>
        <v>180</v>
      </c>
    </row>
    <row r="9">
      <c r="A9" s="11">
        <v>8.0</v>
      </c>
      <c r="B9" s="12" t="s">
        <v>36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11" t="s">
        <v>37</v>
      </c>
      <c r="L9" s="13">
        <f>L6-L8
</f>
        <v>1020</v>
      </c>
    </row>
    <row r="10">
      <c r="A10" s="11">
        <v>9.0</v>
      </c>
      <c r="B10" s="12" t="s">
        <v>38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11" t="s">
        <v>39</v>
      </c>
      <c r="L10" s="13">
        <f>IF(L3&gt;1,L9/(L3-1),0)</f>
        <v>92.72727273</v>
      </c>
    </row>
    <row r="11">
      <c r="A11" s="11">
        <v>10.0</v>
      </c>
      <c r="B11" s="12" t="s">
        <v>41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11" t="s">
        <v>42</v>
      </c>
      <c r="L11" s="19">
        <f>IF(L10&gt;0,L8/L10,1)</f>
        <v>1.941176471</v>
      </c>
    </row>
    <row r="12">
      <c r="A12" s="11">
        <v>11.0</v>
      </c>
      <c r="B12" s="12" t="s">
        <v>43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1">
        <v>12.0</v>
      </c>
      <c r="B13" s="12" t="s">
        <v>44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11" t="s">
        <v>45</v>
      </c>
      <c r="L13" s="18">
        <f>SUMIF($D$2:$D$73,"",$C$2:$C$73)</f>
        <v>1200</v>
      </c>
    </row>
    <row r="14">
      <c r="A14" s="11">
        <v>13.0</v>
      </c>
      <c r="B14" s="12" t="s">
        <v>47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11" t="s">
        <v>48</v>
      </c>
      <c r="L14" s="19">
        <f>IF(L13&gt;0,L6/L13,1)</f>
        <v>1</v>
      </c>
    </row>
    <row r="15">
      <c r="A15" s="11">
        <v>14.0</v>
      </c>
      <c r="B15" s="12" t="s">
        <v>49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1">
        <v>15.0</v>
      </c>
      <c r="B16" s="12" t="s">
        <v>50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11" t="s">
        <v>51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53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1">
        <v>17.0</v>
      </c>
      <c r="B18" s="12" t="s">
        <v>54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11" t="s">
        <v>56</v>
      </c>
      <c r="L18" s="20">
        <f>L5/L2</f>
        <v>0</v>
      </c>
    </row>
    <row r="19">
      <c r="A19" s="11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1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1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1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1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1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1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1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1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11" t="s">
        <v>66</v>
      </c>
      <c r="L27" s="11">
        <v>0.8</v>
      </c>
    </row>
    <row r="28">
      <c r="A28" s="11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1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1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1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1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1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1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1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1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1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1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1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1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1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1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1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1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1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1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1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1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1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1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1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1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1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1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1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1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1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1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1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1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1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1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1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1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1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1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1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1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1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1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1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1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1">
        <v>72.0</v>
      </c>
      <c r="B73" s="11" t="s">
        <v>112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