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<sst xmlns="http://schemas.openxmlformats.org/spreadsheetml/2006/main" count="312" uniqueCount="178">
  <si>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</si>
  <si>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</si>
  <si>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</si>
  <si>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</si>
  <si>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</si>
  <si>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</si>
  <si>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</si>
  <si>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</si>
  <si>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</si>
  <si>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Rank</t>
  </si>
  <si>
    <t>Pick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</si>
  <si>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</si>
  <si>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</si>
  <si>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</si>
  <si>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</si>
  <si>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</si>
  <si>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</si>
  <si>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</si>
  <si>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</si>
  <si>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</si>
  <si>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</si>
  <si>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</si>
  <si>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</si>
  <si>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</si>
  <si>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</si>
  <si>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</si>
  <si>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</si>
  <si>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</si>
  <si>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</si>
  <si>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</si>
  <si>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</si>
  <si>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</si>
  <si>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</si>
  <si>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</si>
  <si>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</si>
  <si>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</si>
  <si>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</si>
  <si>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</si>
  <si>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</si>
  <si>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</si>
  <si>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</si>
  <si>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</si>
  <si>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</si>
  <si>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</si>
  <si>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1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</si>
  <si>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</si>
  <si>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</si>
  <si>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</si>
  <si>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</si>
  <si>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</si>
  <si>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</si>
  <si>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</si>
  <si>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</si>
  <si>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</si>
  <si>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</si>
  <si>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Round 2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</si>
  <si>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</si>
  <si>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</si>
  <si>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</si>
  <si>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</si>
  <si>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</si>
  <si>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</si>
  <si>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</si>
  <si>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</si>
  <si>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3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</si>
  <si>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</si>
  <si>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</si>
  <si>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</si>
  <si>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</si>
  <si>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</si>
  <si>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</si>
  <si>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4</t>
  </si>
  <si>
    <t>Malachi Fields</t>
  </si>
  <si>
    <t>Kaytron Allen</t>
  </si>
  <si>
    <t>Ted Hurst</t>
  </si>
  <si>
    <t>Ja'Kobi Lane</t>
  </si>
  <si>
    <t>Anthony Hill</t>
  </si>
  <si>
    <t>Skyler Bell</t>
  </si>
  <si>
    <t>Round 5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</si>
  <si>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</si>
  <si>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</si>
  <si>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</si>
  <si>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</si>
  <si>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</si>
  <si>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</si>
  <si>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</si>
  <si>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</si>
  <si>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</si>
  <si>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Round 6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</si>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</sst>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1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3" numFmtId="1" xfId="0" applyAlignment="1" applyFont="1" applyNumberFormat="1">
      <alignment horizontal="right" vertical="bottom"/>
    </xf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10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8"/>
      <c r="N2" s="8"/>
      <c r="O2" s="6" t="s">
        <v>44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8"/>
      <c r="N3" s="8"/>
      <c r="O3" s="6" t="s">
        <v>55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6"/>
      <c r="AD3" s="6"/>
    </row>
    <row r="4">
      <c r="A4" s="13">
        <v>1.03</v>
      </c>
      <c r="B4" s="10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8"/>
      <c r="N4" s="8"/>
      <c r="O4" s="6" t="s">
        <v>64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6"/>
      <c r="AD4" s="6"/>
    </row>
    <row r="5">
      <c r="A5" s="13">
        <v>1.04</v>
      </c>
      <c r="B5" s="10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8"/>
      <c r="N5" s="8"/>
      <c r="O5" s="6" t="s">
        <v>71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6"/>
      <c r="AD5" s="6"/>
    </row>
    <row r="6">
      <c r="A6" s="13">
        <v>1.05</v>
      </c>
      <c r="B6" s="10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8"/>
      <c r="N6" s="8"/>
      <c r="O6" s="6" t="s">
        <v>78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6"/>
      <c r="AD6" s="6"/>
    </row>
    <row r="7">
      <c r="A7" s="13">
        <v>1.06</v>
      </c>
      <c r="B7" s="10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8"/>
      <c r="N7" s="8"/>
      <c r="O7" s="6" t="s">
        <v>88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6"/>
      <c r="AD7" s="6"/>
    </row>
    <row r="8">
      <c r="A8" s="13">
        <v>1.07</v>
      </c>
      <c r="B8" s="10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8"/>
      <c r="N8" s="8"/>
      <c r="O8" s="8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6"/>
      <c r="AD8" s="6"/>
    </row>
    <row r="9">
      <c r="A9" s="13">
        <v>1.08</v>
      </c>
      <c r="B9" s="10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8"/>
      <c r="N10" s="8"/>
      <c r="O10" s="8"/>
      <c r="P10" s="17"/>
      <c r="Q10" s="17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8"/>
      <c r="N11" s="8"/>
      <c r="O11" s="8"/>
      <c r="P11" s="17"/>
      <c r="Q11" s="17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8"/>
      <c r="N12" s="8"/>
      <c r="O12" s="8"/>
      <c r="P12" s="17"/>
      <c r="Q12" s="17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8"/>
      <c r="N13" s="8"/>
      <c r="O13" s="8"/>
      <c r="P13" s="17"/>
      <c r="Q13" s="17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8"/>
      <c r="N14" s="8"/>
      <c r="O14" s="8"/>
      <c r="P14" s="17"/>
      <c r="Q14" s="17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8"/>
      <c r="N15" s="8"/>
      <c r="O15" s="8"/>
      <c r="P15" s="17"/>
      <c r="Q15" s="17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8"/>
      <c r="N16" s="8"/>
      <c r="O16" s="8"/>
      <c r="P16" s="17"/>
      <c r="Q16" s="17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8"/>
      <c r="N44" s="8"/>
      <c r="O44" s="6" t="s">
        <v>118</v>
      </c>
      <c r="P44" s="6" t="s">
        <v>10</v>
      </c>
      <c r="Q44" s="6" t="s">
        <v>134</v>
      </c>
      <c r="R44" s="6" t="s">
        <v>114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8" t="str">
        <f t="shared" si="21"/>
        <v>Kich</v>
      </c>
      <c r="S63" s="8"/>
      <c r="T63" s="8" t="s">
        <v>133</v>
      </c>
      <c r="U63" s="17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8" t="str">
        <f t="shared" si="21"/>
        <v>Ty</v>
      </c>
      <c r="S64" s="8"/>
      <c r="T64" s="8" t="s">
        <v>132</v>
      </c>
      <c r="U64" s="17">
        <f t="shared" si="22"/>
        <v>144.5</v>
      </c>
      <c r="V64" s="23"/>
      <c r="W64" s="23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8" t="str">
        <f t="shared" si="21"/>
        <v>MaKayla</v>
      </c>
      <c r="S65" s="8"/>
      <c r="T65" s="6" t="s">
        <v>131</v>
      </c>
      <c r="U65" s="17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8" t="str">
        <f t="shared" si="21"/>
        <v>Joey</v>
      </c>
      <c r="S66" s="8"/>
      <c r="T66" s="8" t="s">
        <v>130</v>
      </c>
      <c r="U66" s="17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8" t="str">
        <f t="shared" si="21"/>
        <v>Brent</v>
      </c>
      <c r="S67" s="8"/>
      <c r="T67" s="8" t="s">
        <v>129</v>
      </c>
      <c r="U67" s="17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8" t="str">
        <f t="shared" si="21"/>
        <v>Ed</v>
      </c>
      <c r="S68" s="8"/>
      <c r="T68" s="8" t="s">
        <v>128</v>
      </c>
      <c r="U68" s="17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8" t="str">
        <f t="shared" si="21"/>
        <v>Joel</v>
      </c>
      <c r="S69" s="8"/>
      <c r="T69" s="8" t="s">
        <v>127</v>
      </c>
      <c r="U69" s="17">
        <f t="shared" si="22"/>
        <v>83</v>
      </c>
      <c r="V69" s="23"/>
      <c r="W69" s="23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7">
        <f t="shared" si="20"/>
        <v>9</v>
      </c>
      <c r="R70" s="8" t="str">
        <f t="shared" si="21"/>
        <v>Blaine</v>
      </c>
      <c r="S70" s="8"/>
      <c r="T70" s="8" t="s">
        <v>126</v>
      </c>
      <c r="U70" s="17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7">
        <f t="shared" si="20"/>
        <v>7</v>
      </c>
      <c r="R71" s="8" t="str">
        <f t="shared" si="21"/>
        <v>Jason</v>
      </c>
      <c r="S71" s="8"/>
      <c r="T71" s="8" t="s">
        <v>125</v>
      </c>
      <c r="U71" s="17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7">
        <f t="shared" si="20"/>
        <v>7</v>
      </c>
      <c r="R72" s="8" t="str">
        <f t="shared" si="21"/>
        <v>Roy</v>
      </c>
      <c r="S72" s="8"/>
      <c r="T72" s="8" t="s">
        <v>124</v>
      </c>
      <c r="U72" s="17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8" t="str">
        <f t="shared" si="21"/>
        <v>Collin</v>
      </c>
      <c r="S73" s="8"/>
      <c r="T73" s="8" t="s">
        <v>123</v>
      </c>
      <c r="U73" s="17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7">
        <f>Sum(D2:D73)</f>
        <v>1200</v>
      </c>
      <c r="E74" s="3"/>
      <c r="F74" s="17">
        <v>1200.0</v>
      </c>
      <c r="G74" s="17">
        <v>1200.0</v>
      </c>
      <c r="H74" s="17">
        <v>1200.0</v>
      </c>
      <c r="I74" s="3"/>
      <c r="J74" s="3"/>
      <c r="K74" s="3"/>
      <c r="L74" s="19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8" t="str">
        <f t="shared" si="21"/>
        <v>Eric</v>
      </c>
      <c r="S74" s="8"/>
      <c r="T74" s="8" t="s">
        <v>122</v>
      </c>
      <c r="U74" s="17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8" t="str">
        <f t="shared" si="21"/>
        <v>Kich</v>
      </c>
      <c r="S75" s="8"/>
      <c r="T75" s="8"/>
      <c r="U75" s="17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8" t="str">
        <f t="shared" si="21"/>
        <v>Brent</v>
      </c>
      <c r="S79" s="8"/>
      <c r="T79" s="8"/>
      <c r="U79" s="17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8" t="str">
        <f t="shared" si="21"/>
        <v>Ed</v>
      </c>
      <c r="S80" s="8"/>
      <c r="T80" s="8"/>
      <c r="U80" s="17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8" t="str">
        <f t="shared" si="21"/>
        <v>Joel</v>
      </c>
      <c r="S81" s="8"/>
      <c r="T81" s="8"/>
      <c r="U81" s="17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8" t="str">
        <f t="shared" si="21"/>
        <v>Blaine</v>
      </c>
      <c r="S82" s="8"/>
      <c r="T82" s="8"/>
      <c r="U82" s="17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7">
        <f t="shared" si="20"/>
        <v>3</v>
      </c>
      <c r="R83" s="8" t="str">
        <f t="shared" si="21"/>
        <v>Jason</v>
      </c>
      <c r="S83" s="8"/>
      <c r="T83" s="8"/>
      <c r="U83" s="17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7">
        <f t="shared" si="20"/>
        <v>3</v>
      </c>
      <c r="R84" s="8" t="str">
        <f t="shared" si="21"/>
        <v>Roy</v>
      </c>
      <c r="S84" s="8"/>
      <c r="T84" s="8"/>
      <c r="U84" s="17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7">
        <f t="shared" si="20"/>
        <v>3</v>
      </c>
      <c r="R85" s="8" t="str">
        <f t="shared" si="21"/>
        <v>Collin</v>
      </c>
      <c r="S85" s="8"/>
      <c r="T85" s="8"/>
      <c r="U85" s="17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8" t="str">
        <f t="shared" si="21"/>
        <v>Eric</v>
      </c>
      <c r="S86" s="8"/>
      <c r="T86" s="8"/>
      <c r="U86" s="17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8" t="str">
        <f t="shared" si="21"/>
        <v>Kich</v>
      </c>
      <c r="S87" s="8"/>
      <c r="T87" s="8"/>
      <c r="U87" s="17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8" t="str">
        <f t="shared" si="21"/>
        <v>Ty</v>
      </c>
      <c r="S88" s="8"/>
      <c r="T88" s="8"/>
      <c r="U88" s="17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7">
        <f t="shared" si="20"/>
        <v>2</v>
      </c>
      <c r="R89" s="8" t="str">
        <f t="shared" si="21"/>
        <v>MaKayla</v>
      </c>
      <c r="S89" s="8"/>
      <c r="T89" s="8"/>
      <c r="U89" s="17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8" t="str">
        <f t="shared" si="21"/>
        <v>Joey</v>
      </c>
      <c r="S90" s="8"/>
      <c r="T90" s="8"/>
      <c r="U90" s="17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7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7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7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7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7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7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7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7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9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28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26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32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30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47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49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43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50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34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52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53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56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82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36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38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46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65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66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60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54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58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69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72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80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101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59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68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75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63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73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104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109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86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107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77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100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85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74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99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84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98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9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26</v>
      </c>
      <c r="C5" s="12">
        <v>82.5</v>
      </c>
      <c r="E5" s="16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9" t="s">
        <v>27</v>
      </c>
      <c r="L5" s="16">
        <f>SUM($D$2:$D$500)
</f>
        <v>0</v>
      </c>
    </row>
    <row r="6">
      <c r="A6" s="9">
        <v>5.0</v>
      </c>
      <c r="B6" s="11" t="s">
        <v>28</v>
      </c>
      <c r="C6" s="12">
        <v>76.0</v>
      </c>
      <c r="E6" s="16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9" t="s">
        <v>29</v>
      </c>
      <c r="L6" s="16">
        <f>L2-L5
</f>
        <v>1200</v>
      </c>
    </row>
    <row r="7">
      <c r="A7" s="9">
        <v>6.0</v>
      </c>
      <c r="B7" s="11" t="s">
        <v>30</v>
      </c>
      <c r="C7" s="12">
        <v>66.5</v>
      </c>
      <c r="E7" s="16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9" t="s">
        <v>31</v>
      </c>
      <c r="L7" s="16">
        <f>SUMIF($E$2:$E$500,TRUE,$D$2:$D$500)</f>
        <v>0</v>
      </c>
    </row>
    <row r="8">
      <c r="A8" s="9">
        <v>7.0</v>
      </c>
      <c r="B8" s="11" t="s">
        <v>32</v>
      </c>
      <c r="C8" s="12">
        <v>57.5</v>
      </c>
      <c r="E8" s="16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9" t="s">
        <v>33</v>
      </c>
      <c r="L8" s="12">
        <f>L4-L7
</f>
        <v>180</v>
      </c>
    </row>
    <row r="9">
      <c r="A9" s="9">
        <v>8.0</v>
      </c>
      <c r="B9" s="11" t="s">
        <v>34</v>
      </c>
      <c r="C9" s="12">
        <v>53.0</v>
      </c>
      <c r="E9" s="16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9" t="s">
        <v>35</v>
      </c>
      <c r="L9" s="12">
        <f>L6-L8
</f>
        <v>1020</v>
      </c>
    </row>
    <row r="10">
      <c r="A10" s="9">
        <v>9.0</v>
      </c>
      <c r="B10" s="11" t="s">
        <v>36</v>
      </c>
      <c r="C10" s="12">
        <v>48.0</v>
      </c>
      <c r="E10" s="16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9" t="s">
        <v>37</v>
      </c>
      <c r="L10" s="12">
        <f>IF(L3&gt;1,L9/(L3-1),0)</f>
        <v>92.72727273</v>
      </c>
    </row>
    <row r="11">
      <c r="A11" s="9">
        <v>10.0</v>
      </c>
      <c r="B11" s="11" t="s">
        <v>38</v>
      </c>
      <c r="C11" s="12">
        <v>43.0</v>
      </c>
      <c r="E11" s="16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9" t="s">
        <v>39</v>
      </c>
      <c r="L11" s="18">
        <f>IF(L10&gt;0,L8/L10,1)</f>
        <v>1.941176471</v>
      </c>
    </row>
    <row r="12">
      <c r="A12" s="9">
        <v>11.0</v>
      </c>
      <c r="B12" s="11" t="s">
        <v>40</v>
      </c>
      <c r="C12" s="12">
        <v>39.0</v>
      </c>
      <c r="E12" s="16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9">
        <v>12.0</v>
      </c>
      <c r="B13" s="11" t="s">
        <v>41</v>
      </c>
      <c r="C13" s="12">
        <v>34.0</v>
      </c>
      <c r="E13" s="16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9" t="s">
        <v>42</v>
      </c>
      <c r="L13" s="16">
        <f>SUMIF($D$2:$D$73,"",$C$2:$C$73)</f>
        <v>1200</v>
      </c>
    </row>
    <row r="14">
      <c r="A14" s="9">
        <v>13.0</v>
      </c>
      <c r="B14" s="11" t="s">
        <v>43</v>
      </c>
      <c r="C14" s="12">
        <v>30.5</v>
      </c>
      <c r="E14" s="16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9" t="s">
        <v>45</v>
      </c>
      <c r="L14" s="18">
        <f>IF(L13&gt;0,L6/L13,1)</f>
        <v>1</v>
      </c>
    </row>
    <row r="15">
      <c r="A15" s="9">
        <v>14.0</v>
      </c>
      <c r="B15" s="11" t="s">
        <v>46</v>
      </c>
      <c r="C15" s="12">
        <v>27.5</v>
      </c>
      <c r="E15" s="16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9">
        <v>15.0</v>
      </c>
      <c r="B16" s="11" t="s">
        <v>47</v>
      </c>
      <c r="C16" s="12">
        <v>25.5</v>
      </c>
      <c r="E16" s="16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9" t="s">
        <v>48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49</v>
      </c>
      <c r="C17" s="12">
        <v>22.5</v>
      </c>
      <c r="E17" s="16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9">
        <v>17.0</v>
      </c>
      <c r="B18" s="11" t="s">
        <v>50</v>
      </c>
      <c r="C18" s="12">
        <v>20.0</v>
      </c>
      <c r="E18" s="16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9" t="s">
        <v>51</v>
      </c>
      <c r="L18" s="20">
        <f>L5/L2</f>
        <v>0</v>
      </c>
    </row>
    <row r="19">
      <c r="A19" s="9">
        <v>18.0</v>
      </c>
      <c r="B19" s="11" t="s">
        <v>52</v>
      </c>
      <c r="C19" s="12">
        <v>18.5</v>
      </c>
      <c r="E19" s="16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9">
        <v>19.0</v>
      </c>
      <c r="B20" s="11" t="s">
        <v>53</v>
      </c>
      <c r="C20" s="12">
        <v>16.5</v>
      </c>
      <c r="E20" s="16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9">
        <v>20.0</v>
      </c>
      <c r="B21" s="11" t="s">
        <v>54</v>
      </c>
      <c r="C21" s="12">
        <v>14.5</v>
      </c>
      <c r="E21" s="16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9">
        <v>21.0</v>
      </c>
      <c r="B22" s="11" t="s">
        <v>56</v>
      </c>
      <c r="C22" s="12">
        <v>13.5</v>
      </c>
      <c r="E22" s="16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9">
        <v>22.0</v>
      </c>
      <c r="B23" s="11" t="s">
        <v>57</v>
      </c>
      <c r="C23" s="12">
        <v>12.0</v>
      </c>
      <c r="E23" s="16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9">
        <v>23.0</v>
      </c>
      <c r="B24" s="11" t="s">
        <v>58</v>
      </c>
      <c r="C24" s="12">
        <v>11.0</v>
      </c>
      <c r="E24" s="16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9">
        <v>24.0</v>
      </c>
      <c r="B25" s="11" t="s">
        <v>59</v>
      </c>
      <c r="C25" s="12">
        <v>10.0</v>
      </c>
      <c r="E25" s="16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9">
        <v>25.0</v>
      </c>
      <c r="B26" s="11" t="s">
        <v>60</v>
      </c>
      <c r="C26" s="12">
        <v>9.5</v>
      </c>
      <c r="E26" s="16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9">
        <v>26.0</v>
      </c>
      <c r="B27" s="11" t="s">
        <v>61</v>
      </c>
      <c r="C27" s="12">
        <v>8.5</v>
      </c>
      <c r="E27" s="16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9" t="s">
        <v>62</v>
      </c>
      <c r="L27" s="9">
        <v>0.8</v>
      </c>
    </row>
    <row r="28">
      <c r="A28" s="9">
        <v>27.0</v>
      </c>
      <c r="B28" s="11" t="s">
        <v>63</v>
      </c>
      <c r="C28" s="12">
        <v>8.0</v>
      </c>
      <c r="E28" s="16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9">
        <v>28.0</v>
      </c>
      <c r="B29" s="11" t="s">
        <v>65</v>
      </c>
      <c r="C29" s="12">
        <v>7.0</v>
      </c>
      <c r="E29" s="16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9">
        <v>29.0</v>
      </c>
      <c r="B30" s="11" t="s">
        <v>66</v>
      </c>
      <c r="C30" s="12">
        <v>6.5</v>
      </c>
      <c r="E30" s="16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9">
        <v>30.0</v>
      </c>
      <c r="B31" s="11" t="s">
        <v>67</v>
      </c>
      <c r="C31" s="12">
        <v>6.0</v>
      </c>
      <c r="E31" s="16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9">
        <v>31.0</v>
      </c>
      <c r="B32" s="11" t="s">
        <v>68</v>
      </c>
      <c r="C32" s="12">
        <v>5.5</v>
      </c>
      <c r="E32" s="16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9">
        <v>32.0</v>
      </c>
      <c r="B33" s="11" t="s">
        <v>69</v>
      </c>
      <c r="C33" s="12">
        <v>5.0</v>
      </c>
      <c r="E33" s="16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9">
        <v>33.0</v>
      </c>
      <c r="B34" s="11" t="s">
        <v>70</v>
      </c>
      <c r="C34" s="12">
        <v>4.5</v>
      </c>
      <c r="E34" s="16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9">
        <v>34.0</v>
      </c>
      <c r="B35" s="11" t="s">
        <v>72</v>
      </c>
      <c r="C35" s="12">
        <v>4.5</v>
      </c>
      <c r="E35" s="16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9">
        <v>35.0</v>
      </c>
      <c r="B36" s="11" t="s">
        <v>73</v>
      </c>
      <c r="C36" s="12">
        <v>4.0</v>
      </c>
      <c r="E36" s="16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9">
        <v>36.0</v>
      </c>
      <c r="B37" s="11" t="s">
        <v>74</v>
      </c>
      <c r="C37" s="12">
        <v>4.0</v>
      </c>
      <c r="E37" s="16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9">
        <v>37.0</v>
      </c>
      <c r="B38" s="11" t="s">
        <v>75</v>
      </c>
      <c r="C38" s="12">
        <v>3.5</v>
      </c>
      <c r="E38" s="16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9">
        <v>38.0</v>
      </c>
      <c r="B39" s="11" t="s">
        <v>76</v>
      </c>
      <c r="C39" s="12">
        <v>3.5</v>
      </c>
      <c r="E39" s="16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9">
        <v>39.0</v>
      </c>
      <c r="B40" s="11" t="s">
        <v>77</v>
      </c>
      <c r="C40" s="12">
        <v>3.0</v>
      </c>
      <c r="E40" s="16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9">
        <v>40.0</v>
      </c>
      <c r="B41" s="11" t="s">
        <v>79</v>
      </c>
      <c r="C41" s="12">
        <v>3.0</v>
      </c>
      <c r="E41" s="16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9">
        <v>41.0</v>
      </c>
      <c r="B42" s="11" t="s">
        <v>80</v>
      </c>
      <c r="C42" s="12">
        <v>2.5</v>
      </c>
      <c r="E42" s="16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9">
        <v>42.0</v>
      </c>
      <c r="B43" s="11" t="s">
        <v>81</v>
      </c>
      <c r="C43" s="12">
        <v>2.5</v>
      </c>
      <c r="E43" s="16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9">
        <v>43.0</v>
      </c>
      <c r="B44" s="11" t="s">
        <v>82</v>
      </c>
      <c r="C44" s="12">
        <v>2.5</v>
      </c>
      <c r="E44" s="16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9">
        <v>44.0</v>
      </c>
      <c r="B45" s="11" t="s">
        <v>83</v>
      </c>
      <c r="C45" s="12">
        <v>2.5</v>
      </c>
      <c r="E45" s="16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9">
        <v>45.0</v>
      </c>
      <c r="B46" s="11" t="s">
        <v>84</v>
      </c>
      <c r="C46" s="12">
        <v>2.0</v>
      </c>
      <c r="E46" s="16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9">
        <v>46.0</v>
      </c>
      <c r="B47" s="11" t="s">
        <v>85</v>
      </c>
      <c r="C47" s="12">
        <v>2.0</v>
      </c>
      <c r="E47" s="16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9">
        <v>47.0</v>
      </c>
      <c r="B48" s="11" t="s">
        <v>86</v>
      </c>
      <c r="C48" s="12">
        <v>2.0</v>
      </c>
      <c r="E48" s="16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9">
        <v>48.0</v>
      </c>
      <c r="B49" s="11" t="s">
        <v>87</v>
      </c>
      <c r="C49" s="12">
        <v>2.0</v>
      </c>
      <c r="E49" s="16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6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6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6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6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6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6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6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9">
        <v>56.0</v>
      </c>
      <c r="B57" s="11" t="s">
        <v>96</v>
      </c>
      <c r="C57" s="12">
        <v>2.0</v>
      </c>
      <c r="E57" s="16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9">
        <v>57.0</v>
      </c>
      <c r="B58" s="11" t="s">
        <v>97</v>
      </c>
      <c r="C58" s="12">
        <v>2.0</v>
      </c>
      <c r="E58" s="16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9">
        <v>58.0</v>
      </c>
      <c r="B59" s="11" t="s">
        <v>98</v>
      </c>
      <c r="C59" s="12">
        <v>2.0</v>
      </c>
      <c r="E59" s="16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9">
        <v>59.0</v>
      </c>
      <c r="B60" s="11" t="s">
        <v>99</v>
      </c>
      <c r="C60" s="12">
        <v>2.0</v>
      </c>
      <c r="E60" s="16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9">
        <v>60.0</v>
      </c>
      <c r="B61" s="11" t="s">
        <v>100</v>
      </c>
      <c r="C61" s="12">
        <v>2.0</v>
      </c>
      <c r="E61" s="16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9">
        <v>61.0</v>
      </c>
      <c r="B62" s="11" t="s">
        <v>101</v>
      </c>
      <c r="C62" s="12">
        <v>1.0</v>
      </c>
      <c r="E62" s="16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9">
        <v>62.0</v>
      </c>
      <c r="B63" s="11" t="s">
        <v>102</v>
      </c>
      <c r="C63" s="12">
        <v>1.0</v>
      </c>
      <c r="E63" s="16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9">
        <v>63.0</v>
      </c>
      <c r="B64" s="11" t="s">
        <v>103</v>
      </c>
      <c r="C64" s="12">
        <v>1.0</v>
      </c>
      <c r="E64" s="16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9">
        <v>64.0</v>
      </c>
      <c r="B65" s="11" t="s">
        <v>104</v>
      </c>
      <c r="C65" s="12">
        <v>1.0</v>
      </c>
      <c r="E65" s="16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9">
        <v>65.0</v>
      </c>
      <c r="B66" s="11" t="s">
        <v>105</v>
      </c>
      <c r="C66" s="12">
        <v>1.0</v>
      </c>
      <c r="E66" s="16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9">
        <v>66.0</v>
      </c>
      <c r="B67" s="11" t="s">
        <v>106</v>
      </c>
      <c r="C67" s="12">
        <v>1.0</v>
      </c>
      <c r="E67" s="16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9">
        <v>67.0</v>
      </c>
      <c r="B68" s="11" t="s">
        <v>107</v>
      </c>
      <c r="C68" s="12">
        <v>1.0</v>
      </c>
      <c r="E68" s="16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9">
        <v>68.0</v>
      </c>
      <c r="B69" s="11" t="s">
        <v>108</v>
      </c>
      <c r="C69" s="12">
        <v>1.0</v>
      </c>
      <c r="E69" s="16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9">
        <v>69.0</v>
      </c>
      <c r="B70" s="11" t="s">
        <v>109</v>
      </c>
      <c r="C70" s="12">
        <v>1.0</v>
      </c>
      <c r="E70" s="16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9">
        <v>70.0</v>
      </c>
      <c r="B71" s="11" t="s">
        <v>110</v>
      </c>
      <c r="C71" s="12">
        <v>1.0</v>
      </c>
      <c r="E71" s="16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9">
        <v>71.0</v>
      </c>
      <c r="B72" s="11" t="s">
        <v>111</v>
      </c>
      <c r="C72" s="12">
        <v>1.0</v>
      </c>
      <c r="E72" s="16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9">
        <v>72.0</v>
      </c>
      <c r="B73" s="9" t="s">
        <v>112</v>
      </c>
      <c r="C73" s="12">
        <v>1.0</v>
      </c>
      <c r="E73" s="16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