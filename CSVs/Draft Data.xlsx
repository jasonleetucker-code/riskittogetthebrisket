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<sst xmlns="http://schemas.openxmlformats.org/spreadsheetml/2006/main" count="312" uniqueCount="178">
  <si>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</si>
  <si>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</si>
  <si>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</si>
  <si>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</si>
  <si>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</si>
  <si>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</si>
  <si>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</si>
  <si>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</si>
  <si>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</si>
  <si>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</si>
  <si>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</si>
  <si>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</si>
  <si>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</si>
  <si>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</si>
  <si>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</si>
  <si>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</si>
  <si>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</si>
  <si>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</si>
  <si>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</si>
  <si>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</si>
  <si>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</si>
  <si>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</si>
  <si>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</si>
  <si>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</si>
  <si>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</si>
  <si>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</si>
  <si>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</si>
  <si>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</si>
  <si>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</si>
  <si>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</si>
  <si>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</si>
  <si>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</si>
  <si>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</si>
  <si>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</si>
  <si>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</si>
  <si>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</si>
  <si>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</si>
  <si>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</si>
  <si>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</si>
  <si>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</si>
  <si>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</si>
  <si>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</si>
  <si>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</si>
  <si>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</si>
  <si>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</si>
  <si>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</si>
  <si>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</si>
  <si>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</si>
  <si>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Round 4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</si>
  <si>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</si>
  <si>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</si>
  <si>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</si>
  <si>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</si>
  <si>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</si>
  <si>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</si>
  <si>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</si>
  <si>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</si>
  <si>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</si>
  <si>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</si>
  <si>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</si>
  <si>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</si>
  <si>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</si>
  <si>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</si>
  <si>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</si>
  <si>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</si>
  <si>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</si>
  <si>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</si>
  <si>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</si>
  <si>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</si>
  <si>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</si>
  <si>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</si>
  <si>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</si>
  <si>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</si>
  <si>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</si>
  <si>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</si>
  <si>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</si>
  <si>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</si>
  <si>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</si>
  <si>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</si>
  <si>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</si>
  <si>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</si>
  <si>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</si>
  <si>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</si>
  <si>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</si>
  <si>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</si>
  <si>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</si>
  <si>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</si>
  <si>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</si>
  <si>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</si>
  <si>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</si>
  <si>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</si>
  <si>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</si>
  <si>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</si>
  <si>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</si>
  <si>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</si>
  <si>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</si>
  <si>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</si>
  <si>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</si>
  <si>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</si>
  <si>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</si>
  <si>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</si>
  <si>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</si>
  <si>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</si>
  <si>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</si>
  <si>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</si>
  <si>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</si>
  <si>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</si>
  <si>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</si>
  <si>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Drew Allar</t>
  </si>
  <si>
    <t>Carson Beck</t>
  </si>
  <si>
    <t>Ed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</si>
  <si>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</si>
  <si>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</si>
  <si>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</si>
  <si>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</si>
  <si>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</si>
  <si>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</si>
  <si>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</si>
  <si>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</si>
  <si>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Brent</t>
  </si>
  <si>
    <t>Garrett Nussmeier</t>
  </si>
  <si>
    <t>Nate Boerkircher</t>
  </si>
  <si>
    <t>Will Kacmarek</t>
  </si>
  <si>
    <t>Joey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</si>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</sst>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7</v>
      </c>
      <c r="E1" s="4" t="s">
        <v>9</v>
      </c>
      <c r="F1" s="5">
        <v>2025.0</v>
      </c>
      <c r="G1" s="5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11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8" t="s">
        <v>44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8" t="s">
        <v>48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8" t="s">
        <v>49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8" t="s">
        <v>99</v>
      </c>
      <c r="P29" s="8" t="s">
        <v>100</v>
      </c>
      <c r="Q29" s="12"/>
      <c r="R29" s="8" t="s">
        <v>101</v>
      </c>
      <c r="S29" s="8" t="s">
        <v>102</v>
      </c>
      <c r="T29" s="8" t="s">
        <v>103</v>
      </c>
      <c r="U29" s="12"/>
      <c r="V29" s="8" t="s">
        <v>104</v>
      </c>
      <c r="W29" s="8" t="s">
        <v>105</v>
      </c>
      <c r="X29" s="8" t="s">
        <v>106</v>
      </c>
      <c r="Y29" s="8" t="s">
        <v>107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110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119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123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8" t="s">
        <v>104</v>
      </c>
      <c r="P44" s="8" t="s">
        <v>20</v>
      </c>
      <c r="Q44" s="8" t="s">
        <v>134</v>
      </c>
      <c r="R44" s="8" t="s">
        <v>100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123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119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110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51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50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120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109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108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6</v>
      </c>
      <c r="E1" s="3" t="s">
        <v>8</v>
      </c>
      <c r="F1" s="6" t="s">
        <v>10</v>
      </c>
      <c r="G1" s="6" t="s">
        <v>11</v>
      </c>
      <c r="H1" s="6" t="s">
        <v>12</v>
      </c>
      <c r="I1" s="3" t="s">
        <v>14</v>
      </c>
      <c r="K1" s="3" t="s">
        <v>15</v>
      </c>
    </row>
    <row r="2">
      <c r="A2" s="3">
        <v>1.0</v>
      </c>
      <c r="B2" s="9" t="s">
        <v>18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9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3" t="s">
        <v>41</v>
      </c>
      <c r="L11" s="19">
        <f>IF(L10&gt;0,L8/L10,1)</f>
        <v>1.941176471</v>
      </c>
    </row>
    <row r="12">
      <c r="A12" s="3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3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3" t="s">
        <v>45</v>
      </c>
      <c r="L13" s="17">
        <f>SUMIF($D$2:$D$73,"",$C$2:$C$73)</f>
        <v>1200</v>
      </c>
    </row>
    <row r="14">
      <c r="A14" s="3">
        <v>13.0</v>
      </c>
      <c r="B14" s="9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3" t="s">
        <v>47</v>
      </c>
      <c r="L14" s="19">
        <f>IF(L13&gt;0,L6/L13,1)</f>
        <v>1</v>
      </c>
    </row>
    <row r="15">
      <c r="A15" s="3">
        <v>14.0</v>
      </c>
      <c r="B15" s="9" t="s">
        <v>50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3">
        <v>15.0</v>
      </c>
      <c r="B16" s="9" t="s">
        <v>51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3" t="s">
        <v>52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54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3">
        <v>17.0</v>
      </c>
      <c r="B18" s="9" t="s">
        <v>55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3" t="s">
        <v>56</v>
      </c>
      <c r="L18" s="20">
        <f>L5/L2</f>
        <v>0</v>
      </c>
    </row>
    <row r="19">
      <c r="A19" s="3">
        <v>18.0</v>
      </c>
      <c r="B19" s="9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3">
        <v>19.0</v>
      </c>
      <c r="B20" s="9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3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3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3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3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3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3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3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3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3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3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3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3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3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3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3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3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3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3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3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3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3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3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3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3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3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3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3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3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3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3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3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3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3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3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3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3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3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3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3">
        <v>59.0</v>
      </c>
      <c r="B60" s="9" t="s">
        <v>108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3">
        <v>60.0</v>
      </c>
      <c r="B61" s="9" t="s">
        <v>109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3">
        <v>61.0</v>
      </c>
      <c r="B62" s="9" t="s">
        <v>111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3">
        <v>62.0</v>
      </c>
      <c r="B63" s="9" t="s">
        <v>112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3">
        <v>63.0</v>
      </c>
      <c r="B64" s="9" t="s">
        <v>113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3">
        <v>64.0</v>
      </c>
      <c r="B65" s="9" t="s">
        <v>114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3">
        <v>65.0</v>
      </c>
      <c r="B66" s="9" t="s">
        <v>115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3">
        <v>66.0</v>
      </c>
      <c r="B67" s="9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3">
        <v>67.0</v>
      </c>
      <c r="B68" s="9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3">
        <v>68.0</v>
      </c>
      <c r="B69" s="9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3">
        <v>69.0</v>
      </c>
      <c r="B70" s="9" t="s">
        <v>120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3">
        <v>70.0</v>
      </c>
      <c r="B71" s="9" t="s">
        <v>121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3">
        <v>71.0</v>
      </c>
      <c r="B72" s="9" t="s">
        <v>122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3">
        <v>72.0</v>
      </c>
      <c r="B73" s="3" t="s">
        <v>124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