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<sst xmlns="http://schemas.openxmlformats.org/spreadsheetml/2006/main" count="312" uniqueCount="178">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</sst>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44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50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55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61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49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52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46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53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56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57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59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40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48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58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24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39</v>
      </c>
      <c r="L10" s="13">
        <f>IF(L3&gt;1,L9/(L3-1),0)</f>
        <v>92.72727273</v>
      </c>
    </row>
    <row r="11">
      <c r="A11" s="11">
        <v>10.0</v>
      </c>
      <c r="B11" s="12" t="s">
        <v>40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41</v>
      </c>
      <c r="L11" s="19">
        <f>IF(L10&gt;0,L8/L10,1)</f>
        <v>1.941176471</v>
      </c>
    </row>
    <row r="12">
      <c r="A12" s="11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43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45</v>
      </c>
      <c r="L13" s="18">
        <f>SUMIF($D$2:$D$73,"",$C$2:$C$73)</f>
        <v>1200</v>
      </c>
    </row>
    <row r="14">
      <c r="A14" s="11">
        <v>13.0</v>
      </c>
      <c r="B14" s="12" t="s">
        <v>46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47</v>
      </c>
      <c r="L14" s="19">
        <f>IF(L13&gt;0,L6/L13,1)</f>
        <v>1</v>
      </c>
    </row>
    <row r="15">
      <c r="A15" s="11">
        <v>14.0</v>
      </c>
      <c r="B15" s="12" t="s">
        <v>48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49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51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52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53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54</v>
      </c>
      <c r="L18" s="20">
        <f>L5/L2</f>
        <v>0</v>
      </c>
    </row>
    <row r="19">
      <c r="A19" s="11">
        <v>18.0</v>
      </c>
      <c r="B19" s="12" t="s">
        <v>56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57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58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59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60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