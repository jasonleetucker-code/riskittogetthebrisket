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<sst xmlns="http://schemas.openxmlformats.org/spreadsheetml/2006/main" count="312" uniqueCount="178">
  <si>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</si>
  <si>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</si>
  <si>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</si>
  <si>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</si>
  <si>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</si>
  <si>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</si>
  <si>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</si>
  <si>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</si>
  <si>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</si>
  <si>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</si>
  <si>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</si>
  <si>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</si>
  <si>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</si>
  <si>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</si>
  <si>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</si>
  <si>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</si>
  <si>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</si>
  <si>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</si>
  <si>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</si>
  <si>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</si>
  <si>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</si>
  <si>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</si>
  <si>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</si>
  <si>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</si>
  <si>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</si>
  <si>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</si>
  <si>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</si>
  <si>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</si>
  <si>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</si>
  <si>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</si>
  <si>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</si>
  <si>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</si>
  <si>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</si>
  <si>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</si>
  <si>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</si>
  <si>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</si>
  <si>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</si>
  <si>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</si>
  <si>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</si>
  <si>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</si>
  <si>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</si>
  <si>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</si>
  <si>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</si>
  <si>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</si>
  <si>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1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</si>
  <si>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</si>
  <si>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</si>
  <si>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</si>
  <si>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</si>
  <si>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</si>
  <si>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</si>
  <si>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</si>
  <si>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</si>
  <si>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</si>
  <si>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</si>
  <si>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</si>
  <si>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</si>
  <si>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</si>
  <si>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</si>
  <si>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</si>
  <si>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</si>
  <si>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2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</si>
  <si>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</si>
  <si>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</si>
  <si>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</si>
  <si>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</si>
  <si>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</si>
  <si>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</si>
  <si>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</si>
  <si>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3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</si>
  <si>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</si>
  <si>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</si>
  <si>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</si>
  <si>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</si>
  <si>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</si>
  <si>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</si>
  <si>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</si>
  <si>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4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</si>
  <si>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</si>
  <si>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</si>
  <si>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</si>
  <si>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</si>
  <si>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</si>
  <si>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</si>
  <si>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</si>
  <si>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</si>
  <si>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</si>
  <si>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5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</si>
  <si>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</si>
  <si>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</si>
  <si>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</si>
  <si>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</si>
  <si>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</si>
  <si>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</si>
  <si>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</si>
  <si>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</si>
  <si>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</si>
  <si>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</si>
  <si>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Round 6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</si>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</sst>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44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77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43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52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53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55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81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64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65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59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54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57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68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71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89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79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58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67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74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63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72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85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76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84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73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94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93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83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97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36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9">
        <f>IF(L3&gt;1,L9/(L3-1),0)</f>
        <v>92.72727273</v>
      </c>
    </row>
    <row r="11">
      <c r="A11" s="2">
        <v>10.0</v>
      </c>
      <c r="B11" s="7" t="s">
        <v>38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8">
        <f>IF(L10&gt;0,L8/L10,1)</f>
        <v>1.941176471</v>
      </c>
    </row>
    <row r="12">
      <c r="A12" s="2">
        <v>11.0</v>
      </c>
      <c r="B12" s="7" t="s">
        <v>40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41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42</v>
      </c>
      <c r="L13" s="16">
        <f>SUMIF($D$2:$D$73,"",$C$2:$C$73)</f>
        <v>1200</v>
      </c>
    </row>
    <row r="14">
      <c r="A14" s="2">
        <v>13.0</v>
      </c>
      <c r="B14" s="7" t="s">
        <v>43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8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49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50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7" t="s">
        <v>52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53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54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55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56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57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58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59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60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62</v>
      </c>
      <c r="L27" s="2">
        <v>0.8</v>
      </c>
    </row>
    <row r="28">
      <c r="A28" s="2">
        <v>27.0</v>
      </c>
      <c r="B28" s="7" t="s">
        <v>63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64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65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66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67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68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70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71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72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73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74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75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76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78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79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80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81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82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83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84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85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86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88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89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90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91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92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93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94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95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96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97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