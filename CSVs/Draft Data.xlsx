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<sst xmlns="http://schemas.openxmlformats.org/spreadsheetml/2006/main" count="312" uniqueCount="178">
  <si>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</si>
  <si>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</si>
  <si>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</si>
  <si>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</si>
  <si>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</si>
  <si>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</si>
  <si>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</si>
  <si>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</si>
  <si>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</si>
  <si>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</si>
  <si>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</si>
  <si>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</si>
  <si>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</si>
  <si>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</si>
  <si>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</si>
  <si>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</si>
  <si>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</si>
  <si>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</si>
  <si>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</si>
  <si>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</si>
  <si>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</si>
  <si>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</si>
  <si>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</si>
  <si>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</si>
  <si>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</si>
  <si>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</si>
  <si>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</si>
  <si>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</si>
  <si>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</si>
  <si>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</si>
  <si>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</si>
  <si>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</si>
  <si>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</si>
  <si>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</si>
  <si>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</si>
  <si>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</si>
  <si>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</si>
  <si>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</si>
  <si>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</si>
  <si>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</si>
  <si>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</si>
  <si>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</si>
  <si>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</si>
  <si>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</si>
  <si>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</si>
  <si>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</si>
  <si>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</si>
  <si>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</si>
  <si>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</si>
  <si>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</si>
  <si>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</si>
  <si>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</si>
  <si>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</si>
  <si>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</si>
  <si>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</si>
  <si>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</si>
  <si>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</si>
  <si>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</si>
  <si>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</si>
  <si>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</si>
  <si>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</si>
  <si>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</si>
  <si>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</si>
  <si>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Mike Washington</t>
  </si>
  <si>
    <t>Round 5</t>
  </si>
  <si>
    <t>Enforce % of Fair</t>
  </si>
  <si>
    <t>Antonio Williams</t>
  </si>
  <si>
    <t>Elijah Sarratt</t>
  </si>
  <si>
    <t>Emmett Johnson</t>
  </si>
  <si>
    <t>Round 6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</si>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</sst>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8"/>
      <c r="N2" s="8"/>
      <c r="O2" s="6" t="s">
        <v>34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8"/>
      <c r="N3" s="8"/>
      <c r="O3" s="6" t="s">
        <v>49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8"/>
      <c r="N4" s="8"/>
      <c r="O4" s="6" t="s">
        <v>53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8"/>
      <c r="N5" s="8"/>
      <c r="O5" s="6" t="s">
        <v>58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8"/>
      <c r="N6" s="8"/>
      <c r="O6" s="6" t="s">
        <v>64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8"/>
      <c r="N7" s="8"/>
      <c r="O7" s="6" t="s">
        <v>69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3"/>
      <c r="W64" s="23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127</v>
      </c>
      <c r="U69" s="15">
        <f t="shared" si="22"/>
        <v>83</v>
      </c>
      <c r="V69" s="23"/>
      <c r="W69" s="23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126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125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124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123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122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28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26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32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30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47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50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44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51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35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54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55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57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37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39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46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67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68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62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56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60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101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61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66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104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109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107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100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99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98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27</v>
      </c>
      <c r="L5" s="17">
        <f>SUM($D$2:$D$500)
</f>
        <v>0</v>
      </c>
    </row>
    <row r="6">
      <c r="A6" s="9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29</v>
      </c>
      <c r="L6" s="17">
        <f>L2-L5
</f>
        <v>1200</v>
      </c>
    </row>
    <row r="7">
      <c r="A7" s="9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31</v>
      </c>
      <c r="L7" s="17">
        <f>SUMIF($E$2:$E$500,TRUE,$D$2:$D$500)</f>
        <v>0</v>
      </c>
    </row>
    <row r="8">
      <c r="A8" s="9">
        <v>7.0</v>
      </c>
      <c r="B8" s="11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33</v>
      </c>
      <c r="L8" s="12">
        <f>L4-L7
</f>
        <v>180</v>
      </c>
    </row>
    <row r="9">
      <c r="A9" s="9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36</v>
      </c>
      <c r="L9" s="12">
        <f>L6-L8
</f>
        <v>1020</v>
      </c>
    </row>
    <row r="10">
      <c r="A10" s="9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38</v>
      </c>
      <c r="L10" s="12">
        <f>IF(L3&gt;1,L9/(L3-1),0)</f>
        <v>92.72727273</v>
      </c>
    </row>
    <row r="11">
      <c r="A11" s="9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40</v>
      </c>
      <c r="L11" s="19">
        <f>IF(L10&gt;0,L8/L10,1)</f>
        <v>1.941176471</v>
      </c>
    </row>
    <row r="12">
      <c r="A12" s="9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43</v>
      </c>
      <c r="L13" s="17">
        <f>SUMIF($D$2:$D$73,"",$C$2:$C$73)</f>
        <v>1200</v>
      </c>
    </row>
    <row r="14">
      <c r="A14" s="9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45</v>
      </c>
      <c r="L14" s="19">
        <f>IF(L13&gt;0,L6/L13,1)</f>
        <v>1</v>
      </c>
    </row>
    <row r="15">
      <c r="A15" s="9">
        <v>14.0</v>
      </c>
      <c r="B15" s="11" t="s">
        <v>46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47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48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50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51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52</v>
      </c>
      <c r="L18" s="20">
        <f>L5/L2</f>
        <v>0</v>
      </c>
    </row>
    <row r="19">
      <c r="A19" s="9">
        <v>18.0</v>
      </c>
      <c r="B19" s="11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55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56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57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61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62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63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65</v>
      </c>
      <c r="L27" s="9">
        <v>0.8</v>
      </c>
    </row>
    <row r="28">
      <c r="A28" s="9">
        <v>27.0</v>
      </c>
      <c r="B28" s="11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68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