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<sst xmlns="http://schemas.openxmlformats.org/spreadsheetml/2006/main" count="312" uniqueCount="178">
  <si>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</si>
  <si>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</si>
  <si>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</si>
  <si>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</si>
  <si>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</si>
  <si>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PreDraft$</t>
  </si>
  <si>
    <t>New Values</t>
  </si>
  <si>
    <t>Final Price</t>
  </si>
  <si>
    <t>Spine</t>
  </si>
  <si>
    <t>Mine?</t>
  </si>
  <si>
    <t>Inflated Fair Price</t>
  </si>
  <si>
    <t>My Max Bid</t>
  </si>
  <si>
    <t>Floors</t>
  </si>
  <si>
    <t>EnforceUpTo</t>
  </si>
  <si>
    <t>Value vs Fair</t>
  </si>
  <si>
    <t>Fractions</t>
  </si>
  <si>
    <t>Settings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</si>
  <si>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</si>
  <si>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</si>
  <si>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</si>
  <si>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</si>
  <si>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</si>
  <si>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</si>
  <si>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</si>
  <si>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</si>
  <si>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</si>
  <si>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</si>
  <si>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</si>
  <si>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</si>
  <si>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</si>
  <si>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</si>
  <si>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</si>
  <si>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</si>
  <si>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</si>
  <si>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</si>
  <si>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</si>
  <si>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</si>
  <si>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</si>
  <si>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</si>
  <si>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</si>
  <si>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</si>
  <si>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</si>
  <si>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</si>
  <si>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</si>
  <si>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</si>
  <si>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</si>
  <si>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</si>
  <si>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</si>
  <si>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</si>
  <si>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</si>
  <si>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</si>
  <si>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</si>
  <si>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</si>
  <si>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</si>
  <si>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</si>
  <si>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</si>
  <si>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</si>
  <si>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</si>
  <si>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</si>
  <si>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</si>
  <si>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</si>
  <si>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</si>
  <si>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</si>
  <si>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</si>
  <si>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</si>
  <si>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</si>
  <si>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</si>
  <si>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</si>
  <si>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</si>
  <si>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</si>
  <si>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</si>
  <si>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</si>
  <si>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</si>
  <si>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</si>
  <si>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</si>
  <si>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</si>
  <si>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</si>
  <si>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</si>
  <si>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</si>
  <si>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</si>
  <si>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</si>
  <si>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</si>
  <si>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</si>
  <si>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</si>
  <si>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</si>
  <si>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</si>
  <si>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</si>
  <si>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</si>
  <si>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</si>
  <si>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</si>
  <si>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</si>
  <si>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</si>
  <si>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</si>
  <si>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</si>
  <si>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</si>
  <si>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</si>
  <si>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</si>
  <si>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</si>
  <si>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</si>
  <si>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</si>
  <si>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Standings</t>
  </si>
  <si>
    <t>Owner</t>
  </si>
  <si>
    <t>Carson Beck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</si>
  <si>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</si>
  <si>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</si>
  <si>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</si>
  <si>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</si>
  <si>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</si>
  <si>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</si>
  <si>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</si>
  <si>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Joe Royer</t>
  </si>
  <si>
    <t>Ed</t>
  </si>
  <si>
    <t>Sam Roush</t>
  </si>
  <si>
    <t>Tanner Koziol</t>
  </si>
  <si>
    <t>Jack Endries</t>
  </si>
  <si>
    <t>Matthew Hibner</t>
  </si>
  <si>
    <t>Tyren Montgomery</t>
  </si>
  <si>
    <t>Brent</t>
  </si>
  <si>
    <t>Bryce Lance</t>
  </si>
  <si>
    <t>Kevin Coleman</t>
  </si>
  <si>
    <t>Joey</t>
  </si>
  <si>
    <t>Garrett Nussmeier</t>
  </si>
  <si>
    <t>Nate Boerkircher</t>
  </si>
  <si>
    <t>MaKayla</t>
  </si>
  <si>
    <t>Will Kacmarek</t>
  </si>
  <si>
    <t>Noah Whittington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</si>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</sst>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6</v>
      </c>
      <c r="E1" s="4" t="s">
        <v>8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15</v>
      </c>
      <c r="K1" s="8" t="s">
        <v>17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55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59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100</v>
      </c>
      <c r="P29" s="8" t="s">
        <v>101</v>
      </c>
      <c r="Q29" s="11"/>
      <c r="R29" s="8" t="s">
        <v>103</v>
      </c>
      <c r="S29" s="8" t="s">
        <v>104</v>
      </c>
      <c r="T29" s="8" t="s">
        <v>105</v>
      </c>
      <c r="U29" s="11"/>
      <c r="V29" s="8" t="s">
        <v>106</v>
      </c>
      <c r="W29" s="8" t="s">
        <v>107</v>
      </c>
      <c r="X29" s="8" t="s">
        <v>108</v>
      </c>
      <c r="Y29" s="8" t="s">
        <v>109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111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1"/>
      <c r="W30" s="21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117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120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123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106</v>
      </c>
      <c r="P44" s="8" t="s">
        <v>20</v>
      </c>
      <c r="Q44" s="8" t="s">
        <v>134</v>
      </c>
      <c r="R44" s="8" t="s">
        <v>101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1"/>
      <c r="W58" s="21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1"/>
      <c r="W59" s="21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1"/>
      <c r="W60" s="21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1"/>
      <c r="W64" s="21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1"/>
      <c r="W69" s="21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123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120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117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111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31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49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52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53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56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57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60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47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58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62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110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63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114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121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118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102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5</v>
      </c>
      <c r="D1" s="3" t="s">
        <v>7</v>
      </c>
      <c r="E1" s="3" t="s">
        <v>9</v>
      </c>
      <c r="F1" s="6" t="s">
        <v>10</v>
      </c>
      <c r="G1" s="6" t="s">
        <v>11</v>
      </c>
      <c r="H1" s="6" t="s">
        <v>13</v>
      </c>
      <c r="I1" s="3" t="s">
        <v>14</v>
      </c>
      <c r="K1" s="3" t="s">
        <v>16</v>
      </c>
    </row>
    <row r="2">
      <c r="A2" s="3">
        <v>1.0</v>
      </c>
      <c r="B2" s="10" t="s">
        <v>19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0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10" t="s">
        <v>24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30</v>
      </c>
      <c r="L6" s="17">
        <f>L2-L5
</f>
        <v>1200</v>
      </c>
    </row>
    <row r="7">
      <c r="A7" s="3">
        <v>6.0</v>
      </c>
      <c r="B7" s="10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2">
        <f>L4-L7
</f>
        <v>180</v>
      </c>
    </row>
    <row r="9">
      <c r="A9" s="3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2">
        <f>L6-L8
</f>
        <v>1020</v>
      </c>
    </row>
    <row r="10">
      <c r="A10" s="3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2">
        <f>IF(L3&gt;1,L9/(L3-1),0)</f>
        <v>92.72727273</v>
      </c>
    </row>
    <row r="11">
      <c r="A11" s="3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10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44</v>
      </c>
      <c r="L13" s="17">
        <f>SUMIF($D$2:$D$73,"",$C$2:$C$73)</f>
        <v>1200</v>
      </c>
    </row>
    <row r="14">
      <c r="A14" s="3">
        <v>13.0</v>
      </c>
      <c r="B14" s="10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10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10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50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0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10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54</v>
      </c>
      <c r="L18" s="20">
        <f>L5/L2</f>
        <v>0</v>
      </c>
    </row>
    <row r="19">
      <c r="A19" s="3">
        <v>18.0</v>
      </c>
      <c r="B19" s="10" t="s">
        <v>56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10" t="s">
        <v>57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10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10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10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10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10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10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10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10" t="s">
        <v>102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10" t="s">
        <v>110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10" t="s">
        <v>112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10" t="s">
        <v>113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10" t="s">
        <v>114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10" t="s">
        <v>115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10" t="s">
        <v>116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10" t="s">
        <v>118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10" t="s">
        <v>119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10" t="s">
        <v>121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10" t="s">
        <v>122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10" t="s">
        <v>124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125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