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<sst xmlns="http://schemas.openxmlformats.org/spreadsheetml/2006/main" count="312" uniqueCount="178">
  <si>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</si>
  <si>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</si>
  <si>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</si>
  <si>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</si>
  <si>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</si>
  <si>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</si>
  <si>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New Values</t>
  </si>
  <si>
    <t>Final Price</t>
  </si>
  <si>
    <t>Spine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</si>
  <si>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</si>
  <si>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</si>
  <si>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</si>
  <si>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</si>
  <si>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</si>
  <si>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</si>
  <si>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</si>
  <si>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</si>
  <si>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Final Dollar Per Pick</t>
  </si>
  <si>
    <t>Settings</t>
  </si>
  <si>
    <t>Pick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</si>
  <si>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</si>
  <si>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</si>
  <si>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</si>
  <si>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</si>
  <si>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</si>
  <si>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</si>
  <si>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</si>
  <si>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</si>
  <si>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</si>
  <si>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</si>
  <si>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</si>
  <si>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</si>
  <si>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</si>
  <si>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My Spent</t>
  </si>
  <si>
    <t>Round 3</t>
  </si>
  <si>
    <t>Sonny Styles</t>
  </si>
  <si>
    <t>My Remaining</t>
  </si>
  <si>
    <t>KC Concepcion</t>
  </si>
  <si>
    <t>Round 4</t>
  </si>
  <si>
    <t>Other Teams Remaining</t>
  </si>
  <si>
    <t>Jadarian Price</t>
  </si>
  <si>
    <t>Avg $ per Other Team</t>
  </si>
  <si>
    <t>Eli Stowers</t>
  </si>
  <si>
    <t>Round 5</t>
  </si>
  <si>
    <t>Budget Advantage Factor</t>
  </si>
  <si>
    <t>Omar Cooper</t>
  </si>
  <si>
    <t>CJ Allen</t>
  </si>
  <si>
    <t>Round 6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</si>
  <si>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</si>
  <si>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</si>
  <si>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</si>
  <si>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</si>
  <si>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</si>
  <si>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</si>
  <si>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</si>
  <si>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</si>
  <si>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</si>
  <si>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</si>
  <si>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</si>
  <si>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</si>
  <si>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</si>
  <si>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</si>
  <si>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</si>
  <si>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</si>
  <si>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</si>
  <si>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</si>
  <si>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</si>
  <si>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</si>
  <si>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</si>
  <si>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</si>
  <si>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</si>
  <si>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</si>
  <si>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</si>
  <si>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</si>
  <si>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</si>
  <si>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</si>
  <si>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</si>
  <si>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</si>
  <si>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</si>
  <si>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</si>
  <si>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</si>
  <si>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</si>
  <si>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</si>
  <si>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</si>
  <si>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</si>
  <si>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</si>
  <si>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</si>
  <si>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</si>
  <si>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</si>
  <si>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</si>
  <si>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</si>
  <si>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</si>
  <si>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</si>
  <si>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R Mason Thomas</t>
  </si>
  <si>
    <t>Ed</t>
  </si>
  <si>
    <t>Oscar Delp</t>
  </si>
  <si>
    <t>Michael Trigg</t>
  </si>
  <si>
    <t>Demond Claiborne</t>
  </si>
  <si>
    <t>Brent</t>
  </si>
  <si>
    <t>Malachi Lawrence</t>
  </si>
  <si>
    <t>CJ Donaldson</t>
  </si>
  <si>
    <t>Joey</t>
  </si>
  <si>
    <t>T.J. Parker</t>
  </si>
  <si>
    <t>MaKayla</t>
  </si>
  <si>
    <t>Cashius Howell</t>
  </si>
  <si>
    <t>Keldric Faulk</t>
  </si>
  <si>
    <t>Ty</t>
  </si>
  <si>
    <t>Akheem Mesidor</t>
  </si>
  <si>
    <t>Kich</t>
  </si>
  <si>
    <t>Justin Joly</t>
  </si>
  <si>
    <t>Eric</t>
  </si>
  <si>
    <t>Eli Raridon</t>
  </si>
  <si>
    <t>DJ Rogers</t>
  </si>
  <si>
    <t>Collin</t>
  </si>
  <si>
    <t>Lake McRee</t>
  </si>
  <si>
    <t>Cade Klubnik</t>
  </si>
  <si>
    <t>Roy</t>
  </si>
  <si>
    <t>Drew Allar</t>
  </si>
  <si>
    <t>Carson Beck</t>
  </si>
  <si>
    <t>Jason</t>
  </si>
  <si>
    <t>Joe Royer</t>
  </si>
  <si>
    <t>Blaine</t>
  </si>
  <si>
    <t>Sam Roush</t>
  </si>
  <si>
    <t>Tanner Koziol</t>
  </si>
  <si>
    <t>Joel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</si>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</sst>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11</v>
      </c>
      <c r="J1" s="8" t="s">
        <v>13</v>
      </c>
      <c r="K1" s="8" t="s">
        <v>15</v>
      </c>
      <c r="L1" s="9" t="s">
        <v>17</v>
      </c>
      <c r="M1" s="5">
        <v>12.0</v>
      </c>
      <c r="N1" s="10"/>
      <c r="O1" s="8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34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38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43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47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84</v>
      </c>
      <c r="P29" s="8" t="s">
        <v>85</v>
      </c>
      <c r="Q29" s="10"/>
      <c r="R29" s="8" t="s">
        <v>86</v>
      </c>
      <c r="S29" s="8" t="s">
        <v>87</v>
      </c>
      <c r="T29" s="8" t="s">
        <v>88</v>
      </c>
      <c r="U29" s="10"/>
      <c r="V29" s="8" t="s">
        <v>89</v>
      </c>
      <c r="W29" s="8" t="s">
        <v>90</v>
      </c>
      <c r="X29" s="8" t="s">
        <v>91</v>
      </c>
      <c r="Y29" s="8" t="s">
        <v>92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8" t="s">
        <v>94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8" t="s">
        <v>98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8" t="s">
        <v>101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8" t="s">
        <v>103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8" t="s">
        <v>106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8" t="s">
        <v>108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8" t="s">
        <v>110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8" t="s">
        <v>113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8" t="s">
        <v>116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8" t="s">
        <v>119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8" t="s">
        <v>121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8" t="s">
        <v>124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89</v>
      </c>
      <c r="P44" s="8" t="s">
        <v>19</v>
      </c>
      <c r="Q44" s="8" t="s">
        <v>134</v>
      </c>
      <c r="R44" s="8" t="s">
        <v>85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124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121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119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116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113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110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108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106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103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101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98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94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35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32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52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49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37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40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42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51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102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120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125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130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97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128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118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96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111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109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117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95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115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9</v>
      </c>
      <c r="F1" s="6" t="s">
        <v>10</v>
      </c>
      <c r="G1" s="6" t="s">
        <v>12</v>
      </c>
      <c r="H1" s="6" t="s">
        <v>14</v>
      </c>
      <c r="I1" s="2" t="s">
        <v>16</v>
      </c>
      <c r="K1" s="2" t="s">
        <v>18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11" t="s">
        <v>25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6">
        <f>'Draft Data'!U63</f>
        <v>180</v>
      </c>
    </row>
    <row r="5">
      <c r="A5" s="2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31</v>
      </c>
      <c r="L6" s="18">
        <f>L2-L5
</f>
        <v>1200</v>
      </c>
    </row>
    <row r="7">
      <c r="A7" s="2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33</v>
      </c>
      <c r="L7" s="18">
        <f>SUMIF($E$2:$E$500,TRUE,$D$2:$D$500)</f>
        <v>0</v>
      </c>
    </row>
    <row r="8">
      <c r="A8" s="2">
        <v>7.0</v>
      </c>
      <c r="B8" s="11" t="s">
        <v>35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36</v>
      </c>
      <c r="L8" s="12">
        <f>L4-L7
</f>
        <v>180</v>
      </c>
    </row>
    <row r="9">
      <c r="A9" s="2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39</v>
      </c>
      <c r="L9" s="12">
        <f>L6-L8
</f>
        <v>1020</v>
      </c>
    </row>
    <row r="10">
      <c r="A10" s="2">
        <v>9.0</v>
      </c>
      <c r="B10" s="11" t="s">
        <v>40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41</v>
      </c>
      <c r="L10" s="12">
        <f>IF(L3&gt;1,L9/(L3-1),0)</f>
        <v>92.72727273</v>
      </c>
    </row>
    <row r="11">
      <c r="A11" s="2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44</v>
      </c>
      <c r="L11" s="19">
        <f>IF(L10&gt;0,L8/L10,1)</f>
        <v>1.941176471</v>
      </c>
    </row>
    <row r="12">
      <c r="A12" s="2">
        <v>11.0</v>
      </c>
      <c r="B12" s="11" t="s">
        <v>45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46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48</v>
      </c>
      <c r="L13" s="18">
        <f>SUMIF($D$2:$D$73,"",$C$2:$C$73)</f>
        <v>1200</v>
      </c>
    </row>
    <row r="14">
      <c r="A14" s="2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50</v>
      </c>
      <c r="L14" s="19">
        <f>IF(L13&gt;0,L6/L13,1)</f>
        <v>1</v>
      </c>
    </row>
    <row r="15">
      <c r="A15" s="2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93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95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96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97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99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100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102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104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105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107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109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111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112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114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115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117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118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120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122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123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125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126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127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128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129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130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131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132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133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