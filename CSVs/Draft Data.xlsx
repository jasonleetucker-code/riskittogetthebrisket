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<sst xmlns="http://schemas.openxmlformats.org/spreadsheetml/2006/main" count="312" uniqueCount="178">
  <si>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</si>
  <si>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</si>
  <si>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</si>
  <si>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</si>
  <si>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</si>
  <si>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</si>
  <si>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</si>
  <si>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</si>
  <si>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</si>
  <si>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</si>
  <si>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</si>
  <si>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</si>
  <si>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</si>
  <si>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</si>
  <si>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</si>
  <si>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</si>
  <si>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</si>
  <si>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</si>
  <si>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</si>
  <si>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</si>
  <si>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</si>
  <si>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</si>
  <si>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</si>
  <si>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</si>
  <si>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</si>
  <si>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</si>
  <si>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</si>
  <si>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</si>
  <si>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</si>
  <si>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</si>
  <si>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</si>
  <si>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</si>
  <si>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</si>
  <si>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</si>
  <si>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</si>
  <si>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2</t>
  </si>
  <si>
    <t>Round 3</t>
  </si>
  <si>
    <t>Round 4</t>
  </si>
  <si>
    <t>Round 5</t>
  </si>
  <si>
    <t>KC Concepcion</t>
  </si>
  <si>
    <t>Other Teams Remaining</t>
  </si>
  <si>
    <t>Jadarian Price</t>
  </si>
  <si>
    <t>Avg $ per Other Team</t>
  </si>
  <si>
    <t>Round 6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</si>
  <si>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</si>
  <si>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</si>
  <si>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</si>
  <si>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</si>
  <si>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</si>
  <si>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</si>
  <si>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</si>
  <si>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</si>
  <si>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</si>
  <si>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</si>
  <si>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</si>
  <si>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</si>
  <si>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</si>
  <si>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</si>
  <si>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</si>
  <si>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</si>
  <si>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</si>
  <si>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</si>
  <si>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</si>
  <si>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</si>
  <si>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</si>
  <si>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</si>
  <si>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</si>
  <si>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</si>
  <si>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</si>
  <si>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</si>
  <si>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</si>
  <si>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</si>
  <si>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</si>
  <si>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</si>
  <si>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</si>
  <si>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</si>
  <si>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</si>
  <si>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</si>
  <si>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</si>
  <si>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</si>
  <si>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</si>
  <si>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</si>
  <si>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</si>
  <si>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</si>
  <si>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</si>
  <si>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</si>
  <si>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</si>
  <si>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</si>
  <si>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</si>
  <si>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</si>
  <si>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</si>
  <si>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</si>
  <si>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</si>
  <si>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</si>
  <si>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</si>
  <si>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</si>
  <si>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</si>
  <si>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Malachi Lawrence</t>
  </si>
  <si>
    <t>CJ Donaldson</t>
  </si>
  <si>
    <t>Ed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</si>
  <si>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</si>
  <si>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</si>
  <si>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</si>
  <si>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</si>
  <si>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</si>
  <si>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</si>
  <si>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</si>
  <si>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</si>
  <si>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Brent</t>
  </si>
  <si>
    <t>Cade Klubnik</t>
  </si>
  <si>
    <t>Drew Allar</t>
  </si>
  <si>
    <t>Carson Beck</t>
  </si>
  <si>
    <t>Joey</t>
  </si>
  <si>
    <t>Joe Royer</t>
  </si>
  <si>
    <t>Sam Roush</t>
  </si>
  <si>
    <t>MaKayla</t>
  </si>
  <si>
    <t>Tanner Koziol</t>
  </si>
  <si>
    <t>Jack Endries</t>
  </si>
  <si>
    <t>Ty</t>
  </si>
  <si>
    <t>Matthew Hibner</t>
  </si>
  <si>
    <t>Tyren Montgomery</t>
  </si>
  <si>
    <t>Bryce Lance</t>
  </si>
  <si>
    <t>Kich</t>
  </si>
  <si>
    <t>Kevin Coleman</t>
  </si>
  <si>
    <t>Garrett Nussmeier</t>
  </si>
  <si>
    <t>Nate Boerkircher</t>
  </si>
  <si>
    <t>Will Kacmarek</t>
  </si>
  <si>
    <t>Eric</t>
  </si>
  <si>
    <t>Noah Whittington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</si>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</sst>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35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8"/>
      <c r="N4" s="8"/>
      <c r="O4" s="6" t="s">
        <v>36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8"/>
      <c r="N5" s="8"/>
      <c r="O5" s="6" t="s">
        <v>37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8"/>
      <c r="N6" s="8"/>
      <c r="O6" s="6" t="s">
        <v>38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8"/>
      <c r="N7" s="8"/>
      <c r="O7" s="6" t="s">
        <v>43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8"/>
      <c r="N29" s="8"/>
      <c r="O29" s="6" t="s">
        <v>88</v>
      </c>
      <c r="P29" s="6" t="s">
        <v>89</v>
      </c>
      <c r="Q29" s="8"/>
      <c r="R29" s="6" t="s">
        <v>90</v>
      </c>
      <c r="S29" s="6" t="s">
        <v>91</v>
      </c>
      <c r="T29" s="6" t="s">
        <v>92</v>
      </c>
      <c r="U29" s="8"/>
      <c r="V29" s="6" t="s">
        <v>93</v>
      </c>
      <c r="W29" s="6" t="s">
        <v>94</v>
      </c>
      <c r="X29" s="6" t="s">
        <v>95</v>
      </c>
      <c r="Y29" s="6" t="s">
        <v>96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99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108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112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115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118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122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127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8"/>
      <c r="N44" s="8"/>
      <c r="O44" s="6" t="s">
        <v>93</v>
      </c>
      <c r="P44" s="6" t="s">
        <v>9</v>
      </c>
      <c r="Q44" s="6" t="s">
        <v>134</v>
      </c>
      <c r="R44" s="6" t="s">
        <v>89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133</v>
      </c>
      <c r="U63" s="15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132</v>
      </c>
      <c r="U64" s="15">
        <f t="shared" si="22"/>
        <v>144.5</v>
      </c>
      <c r="V64" s="21"/>
      <c r="W64" s="21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131</v>
      </c>
      <c r="U65" s="15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130</v>
      </c>
      <c r="U66" s="15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129</v>
      </c>
      <c r="U67" s="15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127</v>
      </c>
      <c r="U68" s="15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122</v>
      </c>
      <c r="U69" s="15">
        <f t="shared" si="22"/>
        <v>83</v>
      </c>
      <c r="V69" s="21"/>
      <c r="W69" s="21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118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115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112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108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99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10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24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29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26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33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31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52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54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49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55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39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57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58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60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41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44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51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68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69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64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59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62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72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74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100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113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63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71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67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75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117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124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87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121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111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86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105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104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110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109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1" t="s">
        <v>24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9" t="s">
        <v>25</v>
      </c>
      <c r="L4" s="10">
        <f>'Draft Data'!U63</f>
        <v>180</v>
      </c>
    </row>
    <row r="5">
      <c r="A5" s="9">
        <v>4.0</v>
      </c>
      <c r="B5" s="11" t="s">
        <v>26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9" t="s">
        <v>30</v>
      </c>
      <c r="L6" s="18">
        <f>L2-L5
</f>
        <v>1200</v>
      </c>
    </row>
    <row r="7">
      <c r="A7" s="9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9" t="s">
        <v>32</v>
      </c>
      <c r="L7" s="18">
        <f>SUMIF($E$2:$E$500,TRUE,$D$2:$D$500)</f>
        <v>0</v>
      </c>
    </row>
    <row r="8">
      <c r="A8" s="9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9" t="s">
        <v>34</v>
      </c>
      <c r="L8" s="12">
        <f>L4-L7
</f>
        <v>180</v>
      </c>
    </row>
    <row r="9">
      <c r="A9" s="9">
        <v>8.0</v>
      </c>
      <c r="B9" s="11" t="s">
        <v>39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9" t="s">
        <v>40</v>
      </c>
      <c r="L9" s="12">
        <f>L6-L8
</f>
        <v>1020</v>
      </c>
    </row>
    <row r="10">
      <c r="A10" s="9">
        <v>9.0</v>
      </c>
      <c r="B10" s="11" t="s">
        <v>41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9" t="s">
        <v>42</v>
      </c>
      <c r="L10" s="12">
        <f>IF(L3&gt;1,L9/(L3-1),0)</f>
        <v>92.72727273</v>
      </c>
    </row>
    <row r="11">
      <c r="A11" s="9">
        <v>10.0</v>
      </c>
      <c r="B11" s="11" t="s">
        <v>44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9" t="s">
        <v>45</v>
      </c>
      <c r="L11" s="19">
        <f>IF(L10&gt;0,L8/L10,1)</f>
        <v>1.941176471</v>
      </c>
    </row>
    <row r="12">
      <c r="A12" s="9">
        <v>11.0</v>
      </c>
      <c r="B12" s="11" t="s">
        <v>46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9">
        <v>12.0</v>
      </c>
      <c r="B13" s="11" t="s">
        <v>47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9" t="s">
        <v>48</v>
      </c>
      <c r="L13" s="18">
        <f>SUMIF($D$2:$D$73,"",$C$2:$C$73)</f>
        <v>1200</v>
      </c>
    </row>
    <row r="14">
      <c r="A14" s="9">
        <v>13.0</v>
      </c>
      <c r="B14" s="11" t="s">
        <v>49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9" t="s">
        <v>50</v>
      </c>
      <c r="L14" s="19">
        <f>IF(L13&gt;0,L6/L13,1)</f>
        <v>1</v>
      </c>
    </row>
    <row r="15">
      <c r="A15" s="9">
        <v>14.0</v>
      </c>
      <c r="B15" s="11" t="s">
        <v>51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9">
        <v>15.0</v>
      </c>
      <c r="B16" s="11" t="s">
        <v>52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9" t="s">
        <v>53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9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9" t="s">
        <v>56</v>
      </c>
      <c r="L18" s="20">
        <f>L5/L2</f>
        <v>0</v>
      </c>
    </row>
    <row r="19">
      <c r="A19" s="9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9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9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9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9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9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9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9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9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9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9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9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9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9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9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9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9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9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9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9">
        <v>48.0</v>
      </c>
      <c r="B49" s="11" t="s">
        <v>97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9">
        <v>49.0</v>
      </c>
      <c r="B50" s="11" t="s">
        <v>98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9">
        <v>50.0</v>
      </c>
      <c r="B51" s="11" t="s">
        <v>100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9">
        <v>51.0</v>
      </c>
      <c r="B52" s="11" t="s">
        <v>101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9">
        <v>52.0</v>
      </c>
      <c r="B53" s="11" t="s">
        <v>102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9">
        <v>53.0</v>
      </c>
      <c r="B54" s="11" t="s">
        <v>103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9">
        <v>54.0</v>
      </c>
      <c r="B55" s="11" t="s">
        <v>104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9">
        <v>55.0</v>
      </c>
      <c r="B56" s="11" t="s">
        <v>105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9">
        <v>56.0</v>
      </c>
      <c r="B57" s="11" t="s">
        <v>106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9">
        <v>57.0</v>
      </c>
      <c r="B58" s="11" t="s">
        <v>107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9">
        <v>58.0</v>
      </c>
      <c r="B59" s="11" t="s">
        <v>109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9">
        <v>59.0</v>
      </c>
      <c r="B60" s="11" t="s">
        <v>110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9">
        <v>60.0</v>
      </c>
      <c r="B61" s="11" t="s">
        <v>111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9">
        <v>61.0</v>
      </c>
      <c r="B62" s="11" t="s">
        <v>113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9">
        <v>62.0</v>
      </c>
      <c r="B63" s="11" t="s">
        <v>114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9">
        <v>63.0</v>
      </c>
      <c r="B64" s="11" t="s">
        <v>116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9">
        <v>64.0</v>
      </c>
      <c r="B65" s="11" t="s">
        <v>117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9">
        <v>65.0</v>
      </c>
      <c r="B66" s="11" t="s">
        <v>119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9">
        <v>66.0</v>
      </c>
      <c r="B67" s="11" t="s">
        <v>120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9">
        <v>67.0</v>
      </c>
      <c r="B68" s="11" t="s">
        <v>121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9">
        <v>68.0</v>
      </c>
      <c r="B69" s="11" t="s">
        <v>123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9">
        <v>69.0</v>
      </c>
      <c r="B70" s="11" t="s">
        <v>124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9">
        <v>70.0</v>
      </c>
      <c r="B71" s="11" t="s">
        <v>125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9">
        <v>71.0</v>
      </c>
      <c r="B72" s="11" t="s">
        <v>126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9">
        <v>72.0</v>
      </c>
      <c r="B73" s="9" t="s">
        <v>128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