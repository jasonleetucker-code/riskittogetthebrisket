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<sst xmlns="http://schemas.openxmlformats.org/spreadsheetml/2006/main" count="312" uniqueCount="178">
  <si>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</si>
  <si>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</si>
  <si>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</si>
  <si>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</si>
  <si>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</si>
  <si>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</si>
  <si>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</si>
  <si>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</si>
  <si>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</si>
  <si>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</si>
  <si>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</si>
  <si>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</si>
  <si>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</si>
  <si>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</si>
  <si>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Floors</t>
  </si>
  <si>
    <t>Settings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</si>
  <si>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</si>
  <si>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</si>
  <si>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</si>
  <si>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</si>
  <si>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</si>
  <si>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</si>
  <si>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</si>
  <si>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</si>
  <si>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</si>
  <si>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</si>
  <si>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</si>
  <si>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</si>
  <si>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</si>
  <si>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</si>
  <si>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</si>
  <si>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</si>
  <si>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Round 2</t>
  </si>
  <si>
    <t>My Spent</t>
  </si>
  <si>
    <t>Sonny Styles</t>
  </si>
  <si>
    <t>My Remaining</t>
  </si>
  <si>
    <t>KC Concepcion</t>
  </si>
  <si>
    <t>Round 3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</si>
  <si>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</si>
  <si>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</si>
  <si>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</si>
  <si>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</si>
  <si>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</si>
  <si>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</si>
  <si>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4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</si>
  <si>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</si>
  <si>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</si>
  <si>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</si>
  <si>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</si>
  <si>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</si>
  <si>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</si>
  <si>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</si>
  <si>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5</t>
  </si>
  <si>
    <t>Caleb Downs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</si>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</sst>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2" numFmtId="0" xfId="0" applyFont="1"/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18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12"/>
      <c r="N2" s="12"/>
      <c r="O2" s="8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12"/>
      <c r="N3" s="12"/>
      <c r="O3" s="8" t="s">
        <v>32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12"/>
      <c r="N4" s="12"/>
      <c r="O4" s="8" t="s">
        <v>37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12"/>
      <c r="N5" s="12"/>
      <c r="O5" s="8" t="s">
        <v>44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12"/>
      <c r="N6" s="12"/>
      <c r="O6" s="8" t="s">
        <v>52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12"/>
      <c r="N7" s="12"/>
      <c r="O7" s="8" t="s">
        <v>58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7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27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34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47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36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39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41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49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17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26</v>
      </c>
      <c r="L4" s="5">
        <f>'Draft Data'!U63</f>
        <v>180</v>
      </c>
    </row>
    <row r="5">
      <c r="A5" s="2">
        <v>4.0</v>
      </c>
      <c r="B5" s="9" t="s">
        <v>27</v>
      </c>
      <c r="C5" s="11">
        <v>82.5</v>
      </c>
      <c r="E5" s="18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28</v>
      </c>
      <c r="L5" s="18">
        <f>SUM($D$2:$D$500)
</f>
        <v>0</v>
      </c>
    </row>
    <row r="6">
      <c r="A6" s="2">
        <v>5.0</v>
      </c>
      <c r="B6" s="9" t="s">
        <v>29</v>
      </c>
      <c r="C6" s="11">
        <v>76.0</v>
      </c>
      <c r="E6" s="18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8">
        <f>L2-L5
</f>
        <v>1200</v>
      </c>
    </row>
    <row r="7">
      <c r="A7" s="2">
        <v>6.0</v>
      </c>
      <c r="B7" s="9" t="s">
        <v>31</v>
      </c>
      <c r="C7" s="11">
        <v>66.5</v>
      </c>
      <c r="E7" s="18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33</v>
      </c>
      <c r="L7" s="18">
        <f>SUMIF($E$2:$E$500,TRUE,$D$2:$D$500)</f>
        <v>0</v>
      </c>
    </row>
    <row r="8">
      <c r="A8" s="2">
        <v>7.0</v>
      </c>
      <c r="B8" s="9" t="s">
        <v>34</v>
      </c>
      <c r="C8" s="11">
        <v>57.5</v>
      </c>
      <c r="E8" s="18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35</v>
      </c>
      <c r="L8" s="11">
        <f>L4-L7
</f>
        <v>180</v>
      </c>
    </row>
    <row r="9">
      <c r="A9" s="2">
        <v>8.0</v>
      </c>
      <c r="B9" s="9" t="s">
        <v>36</v>
      </c>
      <c r="C9" s="11">
        <v>53.0</v>
      </c>
      <c r="E9" s="18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38</v>
      </c>
      <c r="L9" s="11">
        <f>L6-L8
</f>
        <v>1020</v>
      </c>
    </row>
    <row r="10">
      <c r="A10" s="2">
        <v>9.0</v>
      </c>
      <c r="B10" s="9" t="s">
        <v>39</v>
      </c>
      <c r="C10" s="11">
        <v>48.0</v>
      </c>
      <c r="E10" s="18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40</v>
      </c>
      <c r="L10" s="11">
        <f>IF(L3&gt;1,L9/(L3-1),0)</f>
        <v>92.72727273</v>
      </c>
    </row>
    <row r="11">
      <c r="A11" s="2">
        <v>10.0</v>
      </c>
      <c r="B11" s="9" t="s">
        <v>41</v>
      </c>
      <c r="C11" s="11">
        <v>43.0</v>
      </c>
      <c r="E11" s="18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9" t="s">
        <v>43</v>
      </c>
      <c r="C12" s="11">
        <v>39.0</v>
      </c>
      <c r="E12" s="18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45</v>
      </c>
      <c r="C13" s="11">
        <v>34.0</v>
      </c>
      <c r="E13" s="18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46</v>
      </c>
      <c r="L13" s="18">
        <f>SUMIF($D$2:$D$73,"",$C$2:$C$73)</f>
        <v>1200</v>
      </c>
    </row>
    <row r="14">
      <c r="A14" s="2">
        <v>13.0</v>
      </c>
      <c r="B14" s="9" t="s">
        <v>47</v>
      </c>
      <c r="C14" s="11">
        <v>30.5</v>
      </c>
      <c r="E14" s="18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9" t="s">
        <v>49</v>
      </c>
      <c r="C15" s="11">
        <v>27.5</v>
      </c>
      <c r="E15" s="18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50</v>
      </c>
      <c r="C16" s="11">
        <v>25.5</v>
      </c>
      <c r="E16" s="18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1">
        <v>22.5</v>
      </c>
      <c r="E17" s="18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54</v>
      </c>
      <c r="C18" s="11">
        <v>20.0</v>
      </c>
      <c r="E18" s="18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56</v>
      </c>
      <c r="C19" s="11">
        <v>18.5</v>
      </c>
      <c r="E19" s="18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57</v>
      </c>
      <c r="C20" s="11">
        <v>16.5</v>
      </c>
      <c r="E20" s="18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8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8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8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8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8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8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8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8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8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8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8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8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8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8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8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8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8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8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8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8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8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8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8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8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8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8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8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8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8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8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8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8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8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8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8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8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8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8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8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8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8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8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8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8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8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8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8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8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8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8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8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8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8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