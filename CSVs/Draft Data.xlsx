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<sst xmlns="http://schemas.openxmlformats.org/spreadsheetml/2006/main" count="312" uniqueCount="178">
  <si>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</si>
  <si>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</si>
  <si>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</si>
  <si>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</si>
  <si>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</si>
  <si>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</si>
  <si>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</si>
  <si>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</si>
  <si>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Final Price</t>
  </si>
  <si>
    <t>Floors</t>
  </si>
  <si>
    <t>Mine?</t>
  </si>
  <si>
    <t>Fractions</t>
  </si>
  <si>
    <t>Inflated Fair Price</t>
  </si>
  <si>
    <t>Monotone Rounded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</si>
  <si>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</si>
  <si>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</si>
  <si>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</si>
  <si>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</si>
  <si>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</si>
  <si>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</si>
  <si>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</si>
  <si>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</si>
  <si>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</si>
  <si>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</si>
  <si>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</si>
  <si>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</si>
  <si>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</si>
  <si>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</si>
  <si>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</si>
  <si>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</si>
  <si>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</si>
  <si>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</si>
  <si>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</si>
  <si>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</si>
  <si>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</si>
  <si>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</si>
  <si>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</si>
  <si>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</si>
  <si>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</si>
  <si>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</si>
  <si>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</si>
  <si>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</si>
  <si>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</si>
  <si>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</si>
  <si>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</si>
  <si>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</si>
  <si>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</si>
  <si>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</si>
  <si>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</si>
  <si>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</si>
  <si>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</si>
  <si>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</si>
  <si>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</si>
  <si>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</si>
  <si>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</si>
  <si>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</si>
  <si>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</si>
  <si>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</si>
  <si>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</si>
  <si>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</si>
  <si>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</si>
  <si>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</si>
  <si>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</si>
  <si>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</si>
  <si>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</si>
  <si>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</si>
  <si>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</si>
  <si>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</si>
  <si>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</si>
  <si>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</si>
  <si>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</si>
  <si>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</si>
  <si>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</si>
  <si>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</si>
  <si>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</si>
  <si>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</si>
  <si>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</si>
  <si>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</si>
  <si>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</si>
  <si>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</si>
  <si>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</si>
  <si>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</si>
  <si>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</si>
  <si>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</si>
  <si>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</si>
  <si>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</si>
  <si>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</si>
  <si>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</si>
  <si>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</si>
  <si>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</si>
  <si>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</si>
  <si>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</si>
  <si>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</si>
  <si>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</si>
  <si>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</si>
  <si>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</si>
  <si>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</si>
  <si>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</si>
  <si>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</si>
  <si>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</si>
  <si>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</si>
  <si>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</si>
  <si>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</si>
  <si>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</si>
  <si>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</si>
  <si>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</si>
  <si>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</si>
  <si>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</si>
  <si>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</si>
  <si>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</si>
  <si>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</si>
  <si>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Sam Roush</t>
  </si>
  <si>
    <t>Tanner Koziol</t>
  </si>
  <si>
    <t>Jack Endries</t>
  </si>
  <si>
    <t>Ed</t>
  </si>
  <si>
    <t>Matthew Hibner</t>
  </si>
  <si>
    <t>Tyren Montgomery</t>
  </si>
  <si>
    <t>Bryce Lance</t>
  </si>
  <si>
    <t>Brent</t>
  </si>
  <si>
    <t>Kevin Coleman</t>
  </si>
  <si>
    <t>Garrett Nussmeier</t>
  </si>
  <si>
    <t>Nate Boerkircher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</si>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</sst>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11</v>
      </c>
      <c r="K1" s="7" t="s">
        <v>13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102</v>
      </c>
      <c r="P29" s="7" t="s">
        <v>103</v>
      </c>
      <c r="Q29" s="10"/>
      <c r="R29" s="7" t="s">
        <v>104</v>
      </c>
      <c r="S29" s="7" t="s">
        <v>105</v>
      </c>
      <c r="T29" s="7" t="s">
        <v>106</v>
      </c>
      <c r="U29" s="10"/>
      <c r="V29" s="7" t="s">
        <v>107</v>
      </c>
      <c r="W29" s="7" t="s">
        <v>108</v>
      </c>
      <c r="X29" s="7" t="s">
        <v>109</v>
      </c>
      <c r="Y29" s="7" t="s">
        <v>110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114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118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107</v>
      </c>
      <c r="P44" s="7" t="s">
        <v>18</v>
      </c>
      <c r="Q44" s="7" t="s">
        <v>134</v>
      </c>
      <c r="R44" s="7" t="s">
        <v>103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118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114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120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5</v>
      </c>
      <c r="B1" s="4" t="s">
        <v>6</v>
      </c>
      <c r="C1" s="4" t="s">
        <v>7</v>
      </c>
      <c r="D1" s="4" t="s">
        <v>8</v>
      </c>
      <c r="E1" s="4" t="s">
        <v>10</v>
      </c>
      <c r="F1" s="8" t="s">
        <v>12</v>
      </c>
      <c r="G1" s="8" t="s">
        <v>15</v>
      </c>
      <c r="H1" s="8" t="s">
        <v>16</v>
      </c>
      <c r="I1" s="4" t="s">
        <v>17</v>
      </c>
      <c r="K1" s="4" t="s">
        <v>19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28</v>
      </c>
      <c r="L5" s="17">
        <f>SUM($D$2:$D$500)
</f>
        <v>0</v>
      </c>
    </row>
    <row r="6">
      <c r="A6" s="4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45</v>
      </c>
      <c r="L13" s="17">
        <f>SUMIF($D$2:$D$73,"",$C$2:$C$73)</f>
        <v>1200</v>
      </c>
    </row>
    <row r="14">
      <c r="A14" s="4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50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51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55</v>
      </c>
      <c r="L18" s="20">
        <f>L5/L2</f>
        <v>0</v>
      </c>
    </row>
    <row r="19">
      <c r="A19" s="4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111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112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113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115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116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119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120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121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122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123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