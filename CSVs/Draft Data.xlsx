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<sst xmlns="http://schemas.openxmlformats.org/spreadsheetml/2006/main" count="312" uniqueCount="178">
  <si>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</si>
  <si>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</si>
  <si>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</si>
  <si>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</si>
  <si>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</si>
  <si>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</si>
  <si>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</si>
  <si>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Inflated Fair Price</t>
  </si>
  <si>
    <t>Decay</t>
  </si>
  <si>
    <t>My Max Bid</t>
  </si>
  <si>
    <t>EnforceUpTo</t>
  </si>
  <si>
    <t>New Values</t>
  </si>
  <si>
    <t>Value vs Fair</t>
  </si>
  <si>
    <t>Spine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</si>
  <si>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</si>
  <si>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</si>
  <si>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</si>
  <si>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</si>
  <si>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</si>
  <si>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</si>
  <si>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</si>
  <si>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</si>
  <si>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</si>
  <si>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</si>
  <si>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</si>
  <si>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</si>
  <si>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</si>
  <si>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</si>
  <si>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</si>
  <si>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</si>
  <si>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</si>
  <si>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</si>
  <si>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</si>
  <si>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</si>
  <si>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</si>
  <si>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</si>
  <si>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</si>
  <si>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</si>
  <si>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</si>
  <si>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</si>
  <si>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</si>
  <si>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</si>
  <si>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</si>
  <si>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Round 2</t>
  </si>
  <si>
    <t>Undrafted Predraft$</t>
  </si>
  <si>
    <t>Arvell Reese</t>
  </si>
  <si>
    <t>Inflation Factor</t>
  </si>
  <si>
    <t>Ty Simpson</t>
  </si>
  <si>
    <t>Denzel Boston</t>
  </si>
  <si>
    <t>Round 3</t>
  </si>
  <si>
    <t>Aggression</t>
  </si>
  <si>
    <t>Caleb Downs</t>
  </si>
  <si>
    <t>Round 4</t>
  </si>
  <si>
    <t>David Bailey</t>
  </si>
  <si>
    <t>League Spent %</t>
  </si>
  <si>
    <t>Jacob Rodriguez</t>
  </si>
  <si>
    <t>Jonah Coleman</t>
  </si>
  <si>
    <t>Jake Golday</t>
  </si>
  <si>
    <t>Round 5</t>
  </si>
  <si>
    <t>Dillon Thieneman</t>
  </si>
  <si>
    <t>Rueben Bain</t>
  </si>
  <si>
    <t>Chris Bell</t>
  </si>
  <si>
    <t>Germie Bernard</t>
  </si>
  <si>
    <t>Round 6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</si>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</sst>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readingOrder="0"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5" t="s">
        <v>8</v>
      </c>
      <c r="D1" s="5" t="s">
        <v>11</v>
      </c>
      <c r="E1" s="5" t="s">
        <v>13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32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43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49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58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1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48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51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45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53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55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56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59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47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64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57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61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62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4" t="s">
        <v>7</v>
      </c>
      <c r="G1" s="4" t="s">
        <v>9</v>
      </c>
      <c r="H1" s="4" t="s">
        <v>10</v>
      </c>
      <c r="I1" s="2" t="s">
        <v>12</v>
      </c>
      <c r="K1" s="2" t="s">
        <v>14</v>
      </c>
    </row>
    <row r="2">
      <c r="A2" s="2">
        <v>1.0</v>
      </c>
      <c r="B2" s="7" t="s">
        <v>15</v>
      </c>
      <c r="C2" s="9">
        <v>139.0</v>
      </c>
      <c r="D2" s="2"/>
      <c r="E2" s="2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7" t="s">
        <v>22</v>
      </c>
      <c r="C3" s="9">
        <v>106.5</v>
      </c>
      <c r="D3" s="2"/>
      <c r="E3" s="2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7" t="s">
        <v>24</v>
      </c>
      <c r="C4" s="9">
        <v>93.0</v>
      </c>
      <c r="D4" s="2"/>
      <c r="E4" s="2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4">
        <f>'Draft Data'!U63</f>
        <v>180</v>
      </c>
    </row>
    <row r="5">
      <c r="A5" s="2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7" t="s">
        <v>30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7" t="s">
        <v>33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9">
        <f>L4-L7
</f>
        <v>180</v>
      </c>
    </row>
    <row r="9">
      <c r="A9" s="2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9">
        <f>L6-L8
</f>
        <v>1020</v>
      </c>
    </row>
    <row r="10">
      <c r="A10" s="2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9">
        <f>IF(L3&gt;1,L9/(L3-1),0)</f>
        <v>92.72727273</v>
      </c>
    </row>
    <row r="11">
      <c r="A11" s="2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7" t="s">
        <v>41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7" t="s">
        <v>42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7" t="s">
        <v>45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7" t="s">
        <v>47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7" t="s">
        <v>48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7" t="s">
        <v>51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7" t="s">
        <v>53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7" t="s">
        <v>55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7" t="s">
        <v>56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7" t="s">
        <v>57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7" t="s">
        <v>59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7" t="s">
        <v>60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7" t="s">
        <v>61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7" t="s">
        <v>62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7" t="s">
        <v>64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7" t="s">
        <v>65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7" t="s">
        <v>67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7" t="s">
        <v>68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7" t="s">
        <v>69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7" t="s">
        <v>70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7" t="s">
        <v>71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7" t="s">
        <v>72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7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