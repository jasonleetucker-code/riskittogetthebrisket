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<sst xmlns="http://schemas.openxmlformats.org/spreadsheetml/2006/main" count="312" uniqueCount="178">
  <si>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</si>
  <si>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</si>
  <si>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</si>
  <si>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</si>
  <si>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</si>
  <si>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</si>
  <si>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</si>
  <si>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</si>
  <si>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</si>
  <si>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</si>
  <si>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</si>
  <si>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</si>
  <si>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</si>
  <si>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</si>
  <si>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</si>
  <si>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</si>
  <si>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</si>
  <si>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</si>
  <si>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</si>
  <si>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</si>
  <si>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</si>
  <si>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</si>
  <si>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</si>
  <si>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</si>
  <si>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</si>
  <si>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</si>
  <si>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</si>
  <si>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</si>
  <si>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</si>
  <si>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</si>
  <si>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</si>
  <si>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</si>
  <si>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</si>
  <si>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</si>
  <si>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</si>
  <si>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</si>
  <si>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</si>
  <si>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</si>
  <si>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</si>
  <si>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</si>
  <si>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</si>
  <si>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</si>
  <si>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</si>
  <si>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</si>
  <si>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</si>
  <si>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</si>
  <si>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</si>
  <si>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</si>
  <si>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</si>
  <si>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</si>
  <si>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</si>
  <si>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</si>
  <si>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</si>
  <si>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</si>
  <si>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</si>
  <si>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</si>
  <si>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</si>
  <si>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</si>
  <si>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</si>
  <si>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</si>
  <si>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2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</si>
  <si>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</si>
  <si>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</si>
  <si>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</si>
  <si>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</si>
  <si>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</si>
  <si>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</si>
  <si>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</si>
  <si>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</si>
  <si>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</si>
  <si>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</si>
  <si>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</si>
  <si>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</si>
  <si>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3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</si>
  <si>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</si>
  <si>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</si>
  <si>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</si>
  <si>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</si>
  <si>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</si>
  <si>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</si>
  <si>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</si>
  <si>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</si>
  <si>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</si>
  <si>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Round 4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</si>
  <si>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</si>
  <si>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</si>
  <si>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</si>
  <si>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</si>
  <si>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</si>
  <si>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</si>
  <si>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</si>
  <si>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</si>
  <si>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</si>
  <si>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</si>
  <si>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Round 5</t>
  </si>
  <si>
    <t>DJ Rogers</t>
  </si>
  <si>
    <t>Lake McRee</t>
  </si>
  <si>
    <t>Cade Klubnik</t>
  </si>
  <si>
    <t>Drew Allar</t>
  </si>
  <si>
    <t>Carson Beck</t>
  </si>
  <si>
    <t>Round 6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</si>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</sst>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7</v>
      </c>
      <c r="E1" s="4" t="s">
        <v>9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41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60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73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2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50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52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53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55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80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38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64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65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59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54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57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68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70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88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78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58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67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74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63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71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85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76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99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84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72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93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92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98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82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97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8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9">
        <v>139.0</v>
      </c>
      <c r="D2" s="3"/>
      <c r="E2" s="3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9">
        <v>106.5</v>
      </c>
      <c r="D3" s="3"/>
      <c r="E3" s="3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9">
        <v>93.0</v>
      </c>
      <c r="D4" s="3"/>
      <c r="E4" s="3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6">
        <f>SUM($D$2:$D$500)
</f>
        <v>0</v>
      </c>
    </row>
    <row r="6">
      <c r="A6" s="3">
        <v>5.0</v>
      </c>
      <c r="B6" s="8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6">
        <f>L2-L5
</f>
        <v>1200</v>
      </c>
    </row>
    <row r="7">
      <c r="A7" s="3">
        <v>6.0</v>
      </c>
      <c r="B7" s="8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6">
        <f>SUMIF($E$2:$E$500,TRUE,$D$2:$D$500)</f>
        <v>0</v>
      </c>
    </row>
    <row r="8">
      <c r="A8" s="3">
        <v>7.0</v>
      </c>
      <c r="B8" s="8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33</v>
      </c>
      <c r="L8" s="9">
        <f>L4-L7
</f>
        <v>180</v>
      </c>
    </row>
    <row r="9">
      <c r="A9" s="3">
        <v>8.0</v>
      </c>
      <c r="B9" s="8" t="s">
        <v>34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35</v>
      </c>
      <c r="L9" s="9">
        <f>L6-L8
</f>
        <v>1020</v>
      </c>
    </row>
    <row r="10">
      <c r="A10" s="3">
        <v>9.0</v>
      </c>
      <c r="B10" s="8" t="s">
        <v>36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37</v>
      </c>
      <c r="L10" s="9">
        <f>IF(L3&gt;1,L9/(L3-1),0)</f>
        <v>92.72727273</v>
      </c>
    </row>
    <row r="11">
      <c r="A11" s="3">
        <v>10.0</v>
      </c>
      <c r="B11" s="8" t="s">
        <v>38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39</v>
      </c>
      <c r="L11" s="18">
        <f>IF(L10&gt;0,L8/L10,1)</f>
        <v>1.941176471</v>
      </c>
    </row>
    <row r="12">
      <c r="A12" s="3">
        <v>11.0</v>
      </c>
      <c r="B12" s="8" t="s">
        <v>40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6">
        <f>SUMIF($D$2:$D$73,"",$C$2:$C$73)</f>
        <v>1200</v>
      </c>
    </row>
    <row r="14">
      <c r="A14" s="3">
        <v>13.0</v>
      </c>
      <c r="B14" s="8" t="s">
        <v>44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8">
        <f>IF(L13&gt;0,L6/L13,1)</f>
        <v>1</v>
      </c>
    </row>
    <row r="15">
      <c r="A15" s="3">
        <v>14.0</v>
      </c>
      <c r="B15" s="8" t="s">
        <v>46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47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48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49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50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51</v>
      </c>
      <c r="L18" s="20">
        <f>L5/L2</f>
        <v>0</v>
      </c>
    </row>
    <row r="19">
      <c r="A19" s="3">
        <v>18.0</v>
      </c>
      <c r="B19" s="8" t="s">
        <v>52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53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54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55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56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57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58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59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61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62</v>
      </c>
      <c r="L27" s="3">
        <v>0.8</v>
      </c>
    </row>
    <row r="28">
      <c r="A28" s="3">
        <v>27.0</v>
      </c>
      <c r="B28" s="8" t="s">
        <v>63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64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65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66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67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68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69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70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71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72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74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75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76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77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78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79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80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81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82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84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85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86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87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88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89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90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91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92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93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95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96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97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98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99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