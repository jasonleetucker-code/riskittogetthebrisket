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<sst xmlns="http://schemas.openxmlformats.org/spreadsheetml/2006/main" count="312" uniqueCount="178">
  <si>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</si>
  <si>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</si>
  <si>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</si>
  <si>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</si>
  <si>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</si>
  <si>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</si>
  <si>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</si>
  <si>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</si>
  <si>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</si>
  <si>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</si>
  <si>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</si>
  <si>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</si>
  <si>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</si>
  <si>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</si>
  <si>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</si>
  <si>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</si>
  <si>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</si>
  <si>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</si>
  <si>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</si>
  <si>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</si>
  <si>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</si>
  <si>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</si>
  <si>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</si>
  <si>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</si>
  <si>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</si>
  <si>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</si>
  <si>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</si>
  <si>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</si>
  <si>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</si>
  <si>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</si>
  <si>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</si>
  <si>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</si>
  <si>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</si>
  <si>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</si>
  <si>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</si>
  <si>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</si>
  <si>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</si>
  <si>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</si>
  <si>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</si>
  <si>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</si>
  <si>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</si>
  <si>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</si>
  <si>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</si>
  <si>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</si>
  <si>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</si>
  <si>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</si>
  <si>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</si>
  <si>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</si>
  <si>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</si>
  <si>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</si>
  <si>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Round 5</t>
  </si>
  <si>
    <t>Denzel Boston</t>
  </si>
  <si>
    <t>Aggression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</si>
  <si>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</si>
  <si>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</si>
  <si>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</si>
  <si>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</si>
  <si>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</si>
  <si>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</si>
  <si>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</si>
  <si>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</si>
  <si>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</si>
  <si>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</si>
  <si>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</si>
  <si>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</si>
  <si>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</si>
  <si>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</si>
  <si>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</si>
  <si>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</si>
  <si>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</si>
  <si>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</si>
  <si>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</si>
  <si>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</si>
  <si>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</si>
  <si>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</si>
  <si>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</si>
  <si>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</si>
  <si>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</si>
  <si>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</si>
  <si>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</si>
  <si>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</si>
  <si>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</si>
  <si>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</si>
  <si>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</si>
  <si>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</si>
  <si>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</si>
  <si>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</si>
  <si>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</si>
  <si>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</si>
  <si>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</si>
  <si>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</si>
  <si>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</si>
  <si>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</si>
  <si>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</si>
  <si>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</si>
  <si>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</si>
  <si>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</si>
  <si>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</si>
  <si>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</si>
  <si>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</si>
  <si>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</si>
  <si>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</si>
  <si>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</si>
  <si>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</si>
  <si>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Sam Roush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</si>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</sst>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0">
        <v>1.01</v>
      </c>
      <c r="B2" s="11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0">
        <v>1.02</v>
      </c>
      <c r="B3" s="11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33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0">
        <v>1.03</v>
      </c>
      <c r="B4" s="11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0">
        <v>1.04</v>
      </c>
      <c r="B5" s="11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45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0">
        <v>1.05</v>
      </c>
      <c r="B6" s="11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50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0">
        <v>1.06</v>
      </c>
      <c r="B7" s="11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54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0">
        <v>1.07</v>
      </c>
      <c r="B8" s="11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0">
        <v>1.08</v>
      </c>
      <c r="B9" s="11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0">
        <v>1.09</v>
      </c>
      <c r="B10" s="11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0">
        <v>1.1</v>
      </c>
      <c r="B11" s="11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0">
        <v>1.11</v>
      </c>
      <c r="B12" s="11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0">
        <v>1.12</v>
      </c>
      <c r="B13" s="11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0">
        <v>2.01</v>
      </c>
      <c r="B14" s="11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0">
        <v>2.02</v>
      </c>
      <c r="B15" s="11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0">
        <v>2.03</v>
      </c>
      <c r="B16" s="11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0">
        <v>2.04</v>
      </c>
      <c r="B17" s="11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0">
        <v>2.05</v>
      </c>
      <c r="B18" s="11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0">
        <v>2.06</v>
      </c>
      <c r="B19" s="11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0">
        <v>2.07</v>
      </c>
      <c r="B20" s="11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0">
        <v>2.08</v>
      </c>
      <c r="B21" s="11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0">
        <v>2.09</v>
      </c>
      <c r="B22" s="11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0">
        <v>2.1</v>
      </c>
      <c r="B23" s="11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0">
        <v>2.11</v>
      </c>
      <c r="B24" s="11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0">
        <v>2.12</v>
      </c>
      <c r="B25" s="11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0">
        <v>3.01</v>
      </c>
      <c r="B26" s="11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0">
        <v>3.02</v>
      </c>
      <c r="B27" s="11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0">
        <v>3.03</v>
      </c>
      <c r="B28" s="11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0">
        <v>3.04</v>
      </c>
      <c r="B29" s="11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102</v>
      </c>
      <c r="P29" s="6" t="s">
        <v>103</v>
      </c>
      <c r="Q29" s="8"/>
      <c r="R29" s="6" t="s">
        <v>105</v>
      </c>
      <c r="S29" s="6" t="s">
        <v>106</v>
      </c>
      <c r="T29" s="6" t="s">
        <v>107</v>
      </c>
      <c r="U29" s="8"/>
      <c r="V29" s="6" t="s">
        <v>108</v>
      </c>
      <c r="W29" s="6" t="s">
        <v>109</v>
      </c>
      <c r="X29" s="6" t="s">
        <v>110</v>
      </c>
      <c r="Y29" s="6" t="s">
        <v>111</v>
      </c>
      <c r="Z29" s="8"/>
      <c r="AA29" s="8"/>
      <c r="AB29" s="8"/>
      <c r="AC29" s="8"/>
      <c r="AD29" s="8"/>
    </row>
    <row r="30">
      <c r="A30" s="10">
        <v>3.05</v>
      </c>
      <c r="B30" s="11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114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0">
        <v>3.06</v>
      </c>
      <c r="B31" s="11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121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0">
        <v>3.07</v>
      </c>
      <c r="B32" s="11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0">
        <v>3.08</v>
      </c>
      <c r="B33" s="11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0">
        <v>3.09</v>
      </c>
      <c r="B34" s="11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0">
        <v>3.1</v>
      </c>
      <c r="B35" s="11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0">
        <v>3.11</v>
      </c>
      <c r="B36" s="11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0">
        <v>3.12</v>
      </c>
      <c r="B37" s="11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0">
        <v>4.01</v>
      </c>
      <c r="B38" s="11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0">
        <v>4.02</v>
      </c>
      <c r="B39" s="11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0">
        <v>4.03</v>
      </c>
      <c r="B40" s="11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0">
        <v>4.04</v>
      </c>
      <c r="B41" s="11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0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0">
        <v>4.06</v>
      </c>
      <c r="B43" s="11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0">
        <v>4.07</v>
      </c>
      <c r="B44" s="11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108</v>
      </c>
      <c r="P44" s="6" t="s">
        <v>9</v>
      </c>
      <c r="Q44" s="6" t="s">
        <v>134</v>
      </c>
      <c r="R44" s="6" t="s">
        <v>103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0">
        <v>4.08</v>
      </c>
      <c r="B45" s="11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0">
        <v>4.09</v>
      </c>
      <c r="B46" s="11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0">
        <v>4.1</v>
      </c>
      <c r="B47" s="11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0">
        <v>4.11</v>
      </c>
      <c r="B48" s="11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0">
        <v>4.12</v>
      </c>
      <c r="B49" s="11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0">
        <v>5.01</v>
      </c>
      <c r="B50" s="11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0">
        <v>5.02</v>
      </c>
      <c r="B51" s="11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0">
        <v>5.03</v>
      </c>
      <c r="B52" s="11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0">
        <v>5.04</v>
      </c>
      <c r="B53" s="11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0">
        <v>5.05</v>
      </c>
      <c r="B54" s="11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0">
        <v>5.06</v>
      </c>
      <c r="B55" s="11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0">
        <v>5.07</v>
      </c>
      <c r="B56" s="11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0">
        <v>5.08</v>
      </c>
      <c r="B57" s="11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0">
        <v>5.09</v>
      </c>
      <c r="B58" s="11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0">
        <v>5.1</v>
      </c>
      <c r="B59" s="11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0">
        <v>5.11</v>
      </c>
      <c r="B60" s="11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0">
        <v>5.12</v>
      </c>
      <c r="B61" s="11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0">
        <v>6.01</v>
      </c>
      <c r="B62" s="11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0">
        <v>6.02</v>
      </c>
      <c r="B63" s="11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0">
        <v>6.03</v>
      </c>
      <c r="B64" s="11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0">
        <v>6.04</v>
      </c>
      <c r="B65" s="11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0">
        <v>6.05</v>
      </c>
      <c r="B66" s="11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0">
        <v>6.06</v>
      </c>
      <c r="B67" s="11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0">
        <v>6.07</v>
      </c>
      <c r="B68" s="11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0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0">
        <v>6.09</v>
      </c>
      <c r="B70" s="11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0">
        <v>6.1</v>
      </c>
      <c r="B71" s="11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0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0">
        <v>6.12</v>
      </c>
      <c r="B73" s="11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121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114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34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51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53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47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36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41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49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113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119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117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1" t="s">
        <v>15</v>
      </c>
      <c r="G1" s="11" t="s">
        <v>16</v>
      </c>
      <c r="H1" s="11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1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34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35</v>
      </c>
      <c r="L8" s="13">
        <f>L4-L7
</f>
        <v>180</v>
      </c>
    </row>
    <row r="9">
      <c r="A9" s="9">
        <v>8.0</v>
      </c>
      <c r="B9" s="12" t="s">
        <v>36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37</v>
      </c>
      <c r="L9" s="13">
        <f>L6-L8
</f>
        <v>1020</v>
      </c>
    </row>
    <row r="10">
      <c r="A10" s="9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39</v>
      </c>
      <c r="L10" s="13">
        <f>IF(L3&gt;1,L9/(L3-1),0)</f>
        <v>92.72727273</v>
      </c>
    </row>
    <row r="11">
      <c r="A11" s="9">
        <v>10.0</v>
      </c>
      <c r="B11" s="12" t="s">
        <v>41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42</v>
      </c>
      <c r="L11" s="19">
        <f>IF(L10&gt;0,L8/L10,1)</f>
        <v>1.941176471</v>
      </c>
    </row>
    <row r="12">
      <c r="A12" s="9">
        <v>11.0</v>
      </c>
      <c r="B12" s="12" t="s">
        <v>43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46</v>
      </c>
      <c r="L13" s="18">
        <f>SUMIF($D$2:$D$73,"",$C$2:$C$73)</f>
        <v>1200</v>
      </c>
    </row>
    <row r="14">
      <c r="A14" s="9">
        <v>13.0</v>
      </c>
      <c r="B14" s="12" t="s">
        <v>47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48</v>
      </c>
      <c r="L14" s="19">
        <f>IF(L13&gt;0,L6/L13,1)</f>
        <v>1</v>
      </c>
    </row>
    <row r="15">
      <c r="A15" s="9">
        <v>14.0</v>
      </c>
      <c r="B15" s="12" t="s">
        <v>49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51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52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53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104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112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113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115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116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117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118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119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122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123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