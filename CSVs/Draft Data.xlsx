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<sst xmlns="http://schemas.openxmlformats.org/spreadsheetml/2006/main" count="312" uniqueCount="178">
  <si>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</si>
  <si>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</si>
  <si>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</si>
  <si>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</si>
  <si>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</si>
  <si>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</si>
  <si>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</si>
  <si>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</si>
  <si>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</si>
  <si>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</si>
  <si>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</si>
  <si>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</si>
  <si>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</si>
  <si>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</si>
  <si>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</si>
  <si>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</si>
  <si>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</si>
  <si>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</si>
  <si>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</si>
  <si>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</si>
  <si>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</si>
  <si>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</si>
  <si>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</si>
  <si>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</si>
  <si>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Round 1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</si>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</sst>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24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42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48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52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111</v>
      </c>
      <c r="P29" s="6" t="s">
        <v>112</v>
      </c>
      <c r="Q29" s="8"/>
      <c r="R29" s="6" t="s">
        <v>113</v>
      </c>
      <c r="S29" s="6" t="s">
        <v>114</v>
      </c>
      <c r="T29" s="6" t="s">
        <v>115</v>
      </c>
      <c r="U29" s="8"/>
      <c r="V29" s="6" t="s">
        <v>116</v>
      </c>
      <c r="W29" s="6" t="s">
        <v>117</v>
      </c>
      <c r="X29" s="6" t="s">
        <v>118</v>
      </c>
      <c r="Y29" s="6" t="s">
        <v>119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116</v>
      </c>
      <c r="P44" s="6" t="s">
        <v>9</v>
      </c>
      <c r="Q44" s="6" t="s">
        <v>134</v>
      </c>
      <c r="R44" s="6" t="s">
        <v>112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50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46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49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39</v>
      </c>
      <c r="L10" s="13">
        <f>IF(L3&gt;1,L9/(L3-1),0)</f>
        <v>92.72727273</v>
      </c>
    </row>
    <row r="11">
      <c r="A11" s="11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41</v>
      </c>
      <c r="L11" s="19">
        <f>IF(L10&gt;0,L8/L10,1)</f>
        <v>1.941176471</v>
      </c>
    </row>
    <row r="12">
      <c r="A12" s="11">
        <v>11.0</v>
      </c>
      <c r="B12" s="12" t="s">
        <v>43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45</v>
      </c>
      <c r="L13" s="18">
        <f>SUMIF($D$2:$D$73,"",$C$2:$C$73)</f>
        <v>1200</v>
      </c>
    </row>
    <row r="14">
      <c r="A14" s="11">
        <v>13.0</v>
      </c>
      <c r="B14" s="12" t="s">
        <v>46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47</v>
      </c>
      <c r="L14" s="19">
        <f>IF(L13&gt;0,L6/L13,1)</f>
        <v>1</v>
      </c>
    </row>
    <row r="15">
      <c r="A15" s="11">
        <v>14.0</v>
      </c>
      <c r="B15" s="12" t="s">
        <v>49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50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51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120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121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