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<sst xmlns="http://schemas.openxmlformats.org/spreadsheetml/2006/main" count="312" uniqueCount="178">
  <si>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</si>
  <si>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</si>
  <si>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</si>
  <si>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</si>
  <si>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</si>
  <si>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</si>
  <si>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</si>
  <si>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</si>
  <si>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</si>
  <si>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</si>
  <si>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</si>
  <si>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Value vs Fair</t>
  </si>
  <si>
    <t>Settings</t>
  </si>
  <si>
    <t>New Values</t>
  </si>
  <si>
    <t>Jeremiyah Love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</si>
  <si>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</si>
  <si>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</si>
  <si>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</si>
  <si>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</si>
  <si>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</si>
  <si>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</si>
  <si>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</si>
  <si>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</si>
  <si>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</si>
  <si>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</si>
  <si>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</si>
  <si>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</si>
  <si>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</si>
  <si>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</si>
  <si>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</si>
  <si>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</si>
  <si>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</si>
  <si>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</si>
  <si>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</si>
  <si>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</si>
  <si>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</si>
  <si>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</si>
  <si>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1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</si>
  <si>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</si>
  <si>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</si>
  <si>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</si>
  <si>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</si>
  <si>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</si>
  <si>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</si>
  <si>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</si>
  <si>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</si>
  <si>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</si>
  <si>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</si>
  <si>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2</t>
  </si>
  <si>
    <t>Aggression</t>
  </si>
  <si>
    <t>Caleb Downs</t>
  </si>
  <si>
    <t>David Bailey</t>
  </si>
  <si>
    <t>Round 3</t>
  </si>
  <si>
    <t>League Spent %</t>
  </si>
  <si>
    <t>Jacob Rodriguez</t>
  </si>
  <si>
    <t>Jonah Coleman</t>
  </si>
  <si>
    <t>Jake Golday</t>
  </si>
  <si>
    <t>Dillon Thieneman</t>
  </si>
  <si>
    <t>Round 4</t>
  </si>
  <si>
    <t>Rueben Bain</t>
  </si>
  <si>
    <t>Chris Bell</t>
  </si>
  <si>
    <t>Germie Bernard</t>
  </si>
  <si>
    <t>Nicholas Singleton</t>
  </si>
  <si>
    <t>Mike Washington</t>
  </si>
  <si>
    <t>Round 5</t>
  </si>
  <si>
    <t>Enforce % of Fair</t>
  </si>
  <si>
    <t>Antonio Williams</t>
  </si>
  <si>
    <t>Elijah Sarratt</t>
  </si>
  <si>
    <t>Emmett Johnson</t>
  </si>
  <si>
    <t>Chris Brazzell</t>
  </si>
  <si>
    <t>Max Klare</t>
  </si>
  <si>
    <t>Round 6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</si>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</sst>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vertical="bottom"/>
    </xf>
    <xf borderId="0" fillId="0" fontId="2" numFmtId="1" xfId="0" applyFont="1" applyNumberFormat="1"/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5" t="s">
        <v>8</v>
      </c>
      <c r="D1" s="5" t="s">
        <v>13</v>
      </c>
      <c r="E1" s="5" t="s">
        <v>15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37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58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64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1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14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50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51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54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55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57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36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67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68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62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56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60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61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70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66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4" t="s">
        <v>7</v>
      </c>
      <c r="G1" s="4" t="s">
        <v>9</v>
      </c>
      <c r="H1" s="4" t="s">
        <v>10</v>
      </c>
      <c r="I1" s="2" t="s">
        <v>11</v>
      </c>
      <c r="K1" s="2" t="s">
        <v>12</v>
      </c>
    </row>
    <row r="2">
      <c r="A2" s="2">
        <v>1.0</v>
      </c>
      <c r="B2" s="6" t="s">
        <v>14</v>
      </c>
      <c r="C2" s="8">
        <v>139.0</v>
      </c>
      <c r="D2" s="2"/>
      <c r="E2" s="2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6" t="s">
        <v>22</v>
      </c>
      <c r="C3" s="8">
        <v>106.5</v>
      </c>
      <c r="D3" s="2"/>
      <c r="E3" s="2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6" t="s">
        <v>24</v>
      </c>
      <c r="C4" s="8">
        <v>93.0</v>
      </c>
      <c r="D4" s="2"/>
      <c r="E4" s="2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4">
        <f>'Draft Data'!U63</f>
        <v>180</v>
      </c>
    </row>
    <row r="5">
      <c r="A5" s="2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6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6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8">
        <f>L4-L7
</f>
        <v>180</v>
      </c>
    </row>
    <row r="9">
      <c r="A9" s="2">
        <v>8.0</v>
      </c>
      <c r="B9" s="6" t="s">
        <v>34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35</v>
      </c>
      <c r="L9" s="8">
        <f>L6-L8
</f>
        <v>1020</v>
      </c>
    </row>
    <row r="10">
      <c r="A10" s="2">
        <v>9.0</v>
      </c>
      <c r="B10" s="6" t="s">
        <v>36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8">
        <f>IF(L3&gt;1,L9/(L3-1),0)</f>
        <v>92.72727273</v>
      </c>
    </row>
    <row r="11">
      <c r="A11" s="2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6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6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6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6" t="s">
        <v>46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6" t="s">
        <v>47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6" t="s">
        <v>50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6" t="s">
        <v>51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6" t="s">
        <v>54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6" t="s">
        <v>55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6" t="s">
        <v>56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6" t="s">
        <v>57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6" t="s">
        <v>59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6" t="s">
        <v>60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6" t="s">
        <v>61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6" t="s">
        <v>62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6" t="s">
        <v>63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65</v>
      </c>
      <c r="L27" s="2">
        <v>0.8</v>
      </c>
    </row>
    <row r="28">
      <c r="A28" s="2">
        <v>27.0</v>
      </c>
      <c r="B28" s="6" t="s">
        <v>66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6" t="s">
        <v>67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6" t="s">
        <v>68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6" t="s">
        <v>69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6" t="s">
        <v>70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6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6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6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