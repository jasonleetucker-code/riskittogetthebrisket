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<sst xmlns="http://schemas.openxmlformats.org/spreadsheetml/2006/main" count="312" uniqueCount="178">
  <si>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</si>
  <si>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</si>
  <si>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</si>
  <si>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</si>
  <si>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</si>
  <si>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</si>
  <si>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</si>
  <si>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</si>
  <si>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</si>
  <si>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</si>
  <si>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</si>
  <si>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</si>
  <si>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Floors</t>
  </si>
  <si>
    <t>EnforceUpTo</t>
  </si>
  <si>
    <t>Fractions</t>
  </si>
  <si>
    <t>Value vs Fair</t>
  </si>
  <si>
    <t>Monotone Rounded</t>
  </si>
  <si>
    <t>Settings</t>
  </si>
  <si>
    <t>Final Dollar Per Pick</t>
  </si>
  <si>
    <t>Jeremiyah Love</t>
  </si>
  <si>
    <t>Pick</t>
  </si>
  <si>
    <t>Total Auction $</t>
  </si>
  <si>
    <t>Carnell Tate</t>
  </si>
  <si>
    <t>Round 1</t>
  </si>
  <si>
    <t># of Teams</t>
  </si>
  <si>
    <t>Fernando Mendoza</t>
  </si>
  <si>
    <t>My Starting $</t>
  </si>
  <si>
    <t>Jordyn Tyson</t>
  </si>
  <si>
    <t>Total Spent $</t>
  </si>
  <si>
    <t>Makai Lemon</t>
  </si>
  <si>
    <t>Round 2</t>
  </si>
  <si>
    <t>Remaining Leage $</t>
  </si>
  <si>
    <t>Kenyon Sadiq</t>
  </si>
  <si>
    <t>Round 3</t>
  </si>
  <si>
    <t>My Spent</t>
  </si>
  <si>
    <t>Sonny Styles</t>
  </si>
  <si>
    <t>My Remaining</t>
  </si>
  <si>
    <t>KC Concepcion</t>
  </si>
  <si>
    <t>Round 4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</si>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</sst>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1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12</v>
      </c>
      <c r="J1" s="8" t="s">
        <v>14</v>
      </c>
      <c r="K1" s="8" t="s">
        <v>16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1"/>
      <c r="N2" s="11"/>
      <c r="O2" s="8" t="s">
        <v>23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1"/>
      <c r="N3" s="11"/>
      <c r="O3" s="8" t="s">
        <v>30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1"/>
      <c r="N4" s="11"/>
      <c r="O4" s="8" t="s">
        <v>33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1"/>
      <c r="N5" s="11"/>
      <c r="O5" s="8" t="s">
        <v>38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1"/>
      <c r="N6" s="11"/>
      <c r="O6" s="8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1"/>
      <c r="N7" s="11"/>
      <c r="O7" s="8" t="s">
        <v>58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1"/>
      <c r="N8" s="11"/>
      <c r="O8" s="11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1"/>
      <c r="N10" s="11"/>
      <c r="O10" s="11"/>
      <c r="P10" s="15"/>
      <c r="Q10" s="15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1"/>
      <c r="N11" s="11"/>
      <c r="O11" s="11"/>
      <c r="P11" s="15"/>
      <c r="Q11" s="15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1"/>
      <c r="N12" s="11"/>
      <c r="O12" s="11"/>
      <c r="P12" s="15"/>
      <c r="Q12" s="15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1"/>
      <c r="N13" s="11"/>
      <c r="O13" s="11"/>
      <c r="P13" s="15"/>
      <c r="Q13" s="15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1"/>
      <c r="N14" s="11"/>
      <c r="O14" s="11"/>
      <c r="P14" s="15"/>
      <c r="Q14" s="15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1"/>
      <c r="N15" s="11"/>
      <c r="O15" s="11"/>
      <c r="P15" s="15"/>
      <c r="Q15" s="15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1"/>
      <c r="N16" s="11"/>
      <c r="O16" s="11"/>
      <c r="P16" s="15"/>
      <c r="Q16" s="15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1" t="str">
        <f t="shared" si="21"/>
        <v>Kich</v>
      </c>
      <c r="S63" s="11"/>
      <c r="T63" s="11" t="s">
        <v>133</v>
      </c>
      <c r="U63" s="15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1" t="str">
        <f t="shared" si="21"/>
        <v>Ty</v>
      </c>
      <c r="S64" s="11"/>
      <c r="T64" s="11" t="s">
        <v>132</v>
      </c>
      <c r="U64" s="15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1" t="str">
        <f t="shared" si="21"/>
        <v>MaKayla</v>
      </c>
      <c r="S65" s="11"/>
      <c r="T65" s="8" t="s">
        <v>131</v>
      </c>
      <c r="U65" s="15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1" t="str">
        <f t="shared" si="21"/>
        <v>Joey</v>
      </c>
      <c r="S66" s="11"/>
      <c r="T66" s="11" t="s">
        <v>130</v>
      </c>
      <c r="U66" s="15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1" t="str">
        <f t="shared" si="21"/>
        <v>Brent</v>
      </c>
      <c r="S67" s="11"/>
      <c r="T67" s="11" t="s">
        <v>129</v>
      </c>
      <c r="U67" s="15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1" t="str">
        <f t="shared" si="21"/>
        <v>Ed</v>
      </c>
      <c r="S68" s="11"/>
      <c r="T68" s="11" t="s">
        <v>128</v>
      </c>
      <c r="U68" s="15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1" t="str">
        <f t="shared" si="21"/>
        <v>Joel</v>
      </c>
      <c r="S69" s="11"/>
      <c r="T69" s="11" t="s">
        <v>127</v>
      </c>
      <c r="U69" s="15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1" t="str">
        <f t="shared" si="21"/>
        <v>Blaine</v>
      </c>
      <c r="S70" s="11"/>
      <c r="T70" s="11" t="s">
        <v>126</v>
      </c>
      <c r="U70" s="15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1" t="str">
        <f t="shared" si="21"/>
        <v>Jason</v>
      </c>
      <c r="S71" s="11"/>
      <c r="T71" s="11" t="s">
        <v>125</v>
      </c>
      <c r="U71" s="15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1" t="str">
        <f t="shared" si="21"/>
        <v>Roy</v>
      </c>
      <c r="S72" s="11"/>
      <c r="T72" s="11" t="s">
        <v>124</v>
      </c>
      <c r="U72" s="15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1" t="str">
        <f t="shared" si="21"/>
        <v>Collin</v>
      </c>
      <c r="S73" s="11"/>
      <c r="T73" s="11" t="s">
        <v>123</v>
      </c>
      <c r="U73" s="15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1" t="str">
        <f t="shared" si="21"/>
        <v>Eric</v>
      </c>
      <c r="S74" s="11"/>
      <c r="T74" s="11" t="s">
        <v>122</v>
      </c>
      <c r="U74" s="15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1" t="str">
        <f t="shared" si="21"/>
        <v>Kich</v>
      </c>
      <c r="S75" s="11"/>
      <c r="T75" s="11"/>
      <c r="U75" s="15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1" t="str">
        <f t="shared" si="21"/>
        <v>Brent</v>
      </c>
      <c r="S79" s="11"/>
      <c r="T79" s="11"/>
      <c r="U79" s="15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1" t="str">
        <f t="shared" si="21"/>
        <v>Ed</v>
      </c>
      <c r="S80" s="11"/>
      <c r="T80" s="11"/>
      <c r="U80" s="15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1" t="str">
        <f t="shared" si="21"/>
        <v>Joel</v>
      </c>
      <c r="S81" s="11"/>
      <c r="T81" s="11"/>
      <c r="U81" s="15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1" t="str">
        <f t="shared" si="21"/>
        <v>Blaine</v>
      </c>
      <c r="S82" s="11"/>
      <c r="T82" s="11"/>
      <c r="U82" s="15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1" t="str">
        <f t="shared" si="21"/>
        <v>Jason</v>
      </c>
      <c r="S83" s="11"/>
      <c r="T83" s="11"/>
      <c r="U83" s="15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1" t="str">
        <f t="shared" si="21"/>
        <v>Roy</v>
      </c>
      <c r="S84" s="11"/>
      <c r="T84" s="11"/>
      <c r="U84" s="15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1" t="str">
        <f t="shared" si="21"/>
        <v>Collin</v>
      </c>
      <c r="S85" s="11"/>
      <c r="T85" s="11"/>
      <c r="U85" s="15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1" t="str">
        <f t="shared" si="21"/>
        <v>Eric</v>
      </c>
      <c r="S86" s="11"/>
      <c r="T86" s="11"/>
      <c r="U86" s="15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1" t="str">
        <f t="shared" si="21"/>
        <v>Kich</v>
      </c>
      <c r="S87" s="11"/>
      <c r="T87" s="11"/>
      <c r="U87" s="15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1" t="str">
        <f t="shared" si="21"/>
        <v>Ty</v>
      </c>
      <c r="S88" s="11"/>
      <c r="T88" s="11"/>
      <c r="U88" s="15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1" t="str">
        <f t="shared" si="21"/>
        <v>MaKayla</v>
      </c>
      <c r="S89" s="11"/>
      <c r="T89" s="11"/>
      <c r="U89" s="15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1" t="str">
        <f t="shared" si="21"/>
        <v>Joey</v>
      </c>
      <c r="S90" s="11"/>
      <c r="T90" s="11"/>
      <c r="U90" s="15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5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0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25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27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35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32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50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53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47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54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37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56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57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40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42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49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0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13</v>
      </c>
      <c r="I1" s="2" t="s">
        <v>15</v>
      </c>
      <c r="K1" s="2" t="s">
        <v>17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24</v>
      </c>
      <c r="L3" s="2">
        <v>12.0</v>
      </c>
    </row>
    <row r="4">
      <c r="A4" s="2">
        <v>3.0</v>
      </c>
      <c r="B4" s="10" t="s">
        <v>25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5">
        <f>'Draft Data'!U63</f>
        <v>180</v>
      </c>
    </row>
    <row r="5">
      <c r="A5" s="2">
        <v>4.0</v>
      </c>
      <c r="B5" s="10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10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31</v>
      </c>
      <c r="L6" s="18">
        <f>L2-L5
</f>
        <v>1200</v>
      </c>
    </row>
    <row r="7">
      <c r="A7" s="2">
        <v>6.0</v>
      </c>
      <c r="B7" s="10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34</v>
      </c>
      <c r="L7" s="18">
        <f>SUMIF($E$2:$E$500,TRUE,$D$2:$D$500)</f>
        <v>0</v>
      </c>
    </row>
    <row r="8">
      <c r="A8" s="2">
        <v>7.0</v>
      </c>
      <c r="B8" s="10" t="s">
        <v>35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36</v>
      </c>
      <c r="L8" s="12">
        <f>L4-L7
</f>
        <v>180</v>
      </c>
    </row>
    <row r="9">
      <c r="A9" s="2">
        <v>8.0</v>
      </c>
      <c r="B9" s="10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39</v>
      </c>
      <c r="L9" s="12">
        <f>L6-L8
</f>
        <v>1020</v>
      </c>
    </row>
    <row r="10">
      <c r="A10" s="2">
        <v>9.0</v>
      </c>
      <c r="B10" s="10" t="s">
        <v>40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41</v>
      </c>
      <c r="L10" s="12">
        <f>IF(L3&gt;1,L9/(L3-1),0)</f>
        <v>92.72727273</v>
      </c>
    </row>
    <row r="11">
      <c r="A11" s="2">
        <v>10.0</v>
      </c>
      <c r="B11" s="10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43</v>
      </c>
      <c r="L11" s="19">
        <f>IF(L10&gt;0,L8/L10,1)</f>
        <v>1.941176471</v>
      </c>
    </row>
    <row r="12">
      <c r="A12" s="2">
        <v>11.0</v>
      </c>
      <c r="B12" s="10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10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10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10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10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53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10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10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10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10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10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10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10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10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10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10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10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10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10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