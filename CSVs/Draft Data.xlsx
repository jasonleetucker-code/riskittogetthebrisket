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<sst xmlns="http://schemas.openxmlformats.org/spreadsheetml/2006/main" count="388" uniqueCount="172">
  <si>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</si>
  <si>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</si>
  <si>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</si>
  <si>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</si>
  <si>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</si>
  <si>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</si>
  <si>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</si>
  <si>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</si>
  <si>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</si>
  <si>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</si>
  <si>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</si>
  <si>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</si>
  <si>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</si>
  <si>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</si>
  <si>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</si>
  <si>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</si>
  <si>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</si>
  <si>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</si>
  <si>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</si>
  <si>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</si>
  <si>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</si>
  <si>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</si>
  <si>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</si>
  <si>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</si>
  <si>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</si>
  <si>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</si>
  <si>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Blaine</t>
  </si>
  <si>
    <t>Jason</t>
  </si>
  <si>
    <t>Brent</t>
  </si>
  <si>
    <t>Joey</t>
  </si>
  <si>
    <t>MaKayla</t>
  </si>
  <si>
    <t>Collin</t>
  </si>
  <si>
    <t>Ty</t>
  </si>
  <si>
    <t>Kich</t>
  </si>
  <si>
    <t>Eric</t>
  </si>
  <si>
    <t>Roy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</si>
  <si>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</si>
  <si>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</si>
  <si>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</si>
  <si>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</si>
  <si>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</si>
  <si>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</si>
  <si>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</si>
  <si>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</si>
  <si>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</si>
  <si>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</si>
  <si>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</si>
  <si>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</si>
  <si>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</si>
  <si>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</si>
  <si>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</si>
  <si>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</si>
  <si>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</si>
  <si>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</si>
  <si>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</si>
  <si>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</si>
  <si>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</si>
  <si>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</si>
  <si>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</si>
  <si>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</si>
  <si>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</si>
  <si>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</si>
  <si>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</si>
  <si>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</si>
  <si>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</si>
  <si>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</si>
  <si>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</si>
  <si>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</si>
  <si>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</si>
  <si>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</si>
  <si>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</si>
  <si>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</si>
  <si>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</si>
  <si>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</si>
  <si>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</si>
  <si>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</si>
  <si>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</si>
  <si>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</si>
  <si>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</si>
  <si>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</si>
  <si>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</si>
  <si>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</si>
  <si>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</si>
  <si>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</si>
  <si>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</si>
  <si>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</si>
  <si>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</si>
  <si>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</si>
  <si>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</si>
  <si>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</si>
  <si>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</si>
  <si>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</si>
  <si>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</si>
  <si>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</si>
  <si>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</si>
  <si>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</si>
  <si>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</si>
  <si>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</si>
  <si>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</si>
  <si>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</si>
  <si>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</si>
  <si>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</si>
  <si>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</si>
  <si>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</si>
  <si>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</si>
  <si>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</si>
  <si>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</si>
  <si>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</si>
  <si>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</si>
  <si>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</si>
  <si>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</si>
  <si>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</si>
  <si>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</si>
  <si>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</si>
  <si>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</si>
  <si>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</si>
  <si>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</si>
  <si>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</si>
  <si>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</si>
  <si>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</si>
  <si>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</si>
  <si>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</si>
  <si>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</si>
  <si>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</si>
  <si>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</si>
  <si>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</si>
  <si>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</si>
  <si>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</si>
  <si>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</si>
  <si>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</si>
  <si>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</si>
  <si>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</si>
  <si>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</si>
  <si>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</si>
  <si>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</si>
  <si>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</si>
  <si>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</si>
  <si>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</si>
  <si>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</si>
  <si>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</si>
  <si>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</si>
  <si>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</si>
  <si>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</si>
  <si>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</si>
  <si>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</si>
  <si>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</si>
  <si>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</si>
  <si>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</si>
  <si>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</si>
  <si>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CJ Allen</t>
  </si>
  <si>
    <t>Inflation Factor</t>
  </si>
  <si>
    <t>Omar Cooper</t>
  </si>
  <si>
    <t>Aggression</t>
  </si>
  <si>
    <t>League Spent %</t>
  </si>
  <si>
    <t>Rueben Bain</t>
  </si>
  <si>
    <t>Mike Washington</t>
  </si>
  <si>
    <t>Chris Brazzell</t>
  </si>
  <si>
    <t>Enforce % of Fair</t>
  </si>
  <si>
    <t>Anthony Hill</t>
  </si>
  <si>
    <t>Cashius Howell</t>
  </si>
  <si>
    <t>Vinny Anthony</t>
  </si>
  <si>
    <t>Akheem Mesidor</t>
  </si>
  <si>
    <t>Sam Roush</t>
  </si>
  <si>
    <t>A.J. Haulcy</t>
  </si>
  <si>
    <t>Keldric Faulk</t>
  </si>
  <si>
    <t>Peter Woods</t>
  </si>
  <si>
    <t>Kevin Coleman</t>
  </si>
  <si>
    <t>Tanner Koziol</t>
  </si>
  <si>
    <t>John Michael Gyllenborg</t>
  </si>
  <si>
    <t>De'Zhaun Stribling</t>
  </si>
  <si>
    <t>Jeff Caldwell</t>
  </si>
  <si>
    <t>CJ Daniels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</si>
</sst>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7651.0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139.1284418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140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278</v>
      </c>
      <c r="J2" s="10">
        <f t="shared" ref="J2:J73" si="6">C2*2 - I2</f>
        <v>0.2568836805</v>
      </c>
      <c r="K2" s="10">
        <f>I2 + --(RANK(J2,$J$2:$J$73,0) &lt;= 1200*2 - SUM($I$2:$I$73))</f>
        <v>278</v>
      </c>
      <c r="L2" s="11">
        <f t="shared" ref="L2:L74" si="7">D2</f>
        <v>140</v>
      </c>
      <c r="M2" s="7"/>
      <c r="N2" s="7"/>
      <c r="O2" s="5" t="s">
        <v>10</v>
      </c>
      <c r="P2" s="10">
        <f t="shared" ref="P2:AA2" si="1">INDEX($L$1:$L$73, 2 + (ROW()-ROW($P$2))*12 + (COLUMN()-COLUMN($P$2)))</f>
        <v>140</v>
      </c>
      <c r="Q2" s="10">
        <f t="shared" si="1"/>
        <v>108</v>
      </c>
      <c r="R2" s="10">
        <f t="shared" si="1"/>
        <v>96</v>
      </c>
      <c r="S2" s="10">
        <f t="shared" si="1"/>
        <v>86</v>
      </c>
      <c r="T2" s="10">
        <f t="shared" si="1"/>
        <v>77</v>
      </c>
      <c r="U2" s="10">
        <f t="shared" si="1"/>
        <v>69</v>
      </c>
      <c r="V2" s="10">
        <f t="shared" si="1"/>
        <v>63</v>
      </c>
      <c r="W2" s="10">
        <f t="shared" si="1"/>
        <v>58</v>
      </c>
      <c r="X2" s="10">
        <f t="shared" si="1"/>
        <v>50</v>
      </c>
      <c r="Y2" s="10">
        <f t="shared" si="1"/>
        <v>44</v>
      </c>
      <c r="Z2" s="10">
        <f t="shared" si="1"/>
        <v>40</v>
      </c>
      <c r="AA2" s="10">
        <f t="shared" si="1"/>
        <v>35</v>
      </c>
      <c r="AB2" s="10">
        <f t="shared" ref="AB2:AB7" si="9">SUM(P2:AA2)</f>
        <v>866</v>
      </c>
      <c r="AC2" s="5"/>
      <c r="AD2" s="5"/>
    </row>
    <row r="3">
      <c r="A3" s="8">
        <v>1.02</v>
      </c>
      <c r="B3" s="9">
        <v>5748.0</v>
      </c>
      <c r="C3" s="10">
        <f t="shared" si="2"/>
        <v>106.8674263</v>
      </c>
      <c r="D3" s="10">
        <f t="shared" si="3"/>
        <v>108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213</v>
      </c>
      <c r="J3" s="10">
        <f t="shared" si="6"/>
        <v>0.7348525498</v>
      </c>
      <c r="K3" s="10">
        <f t="shared" ref="K3:K73" si="10">MIN(
  I3 + --(RANK(J3,$J$2:$J$73,0) &lt;= 1200*2 - SUM($I$2:$I$73)),
  IF(INT((ROW()-ROW($C$2))/12)=4, 4, IF(INT((ROW()-ROW($C$2))/12)=5, 2, 10^9)),
  K2
)
</f>
        <v>214</v>
      </c>
      <c r="L3" s="11">
        <f t="shared" si="7"/>
        <v>108</v>
      </c>
      <c r="M3" s="7"/>
      <c r="N3" s="7"/>
      <c r="O3" s="5" t="s">
        <v>11</v>
      </c>
      <c r="P3" s="10">
        <f t="shared" ref="P3:AA3" si="8">INDEX($L$1:$L$73, 2 + (ROW()-ROW($P$2))*12 + (COLUMN()-COLUMN($P$2)))</f>
        <v>28.5</v>
      </c>
      <c r="Q3" s="10">
        <f t="shared" si="8"/>
        <v>25.5</v>
      </c>
      <c r="R3" s="10">
        <f t="shared" si="8"/>
        <v>23.5</v>
      </c>
      <c r="S3" s="10">
        <f t="shared" si="8"/>
        <v>21.5</v>
      </c>
      <c r="T3" s="10">
        <f t="shared" si="8"/>
        <v>19</v>
      </c>
      <c r="U3" s="10">
        <f t="shared" si="8"/>
        <v>17.5</v>
      </c>
      <c r="V3" s="10">
        <f t="shared" si="8"/>
        <v>16</v>
      </c>
      <c r="W3" s="10">
        <f t="shared" si="8"/>
        <v>14.5</v>
      </c>
      <c r="X3" s="10">
        <f t="shared" si="8"/>
        <v>13</v>
      </c>
      <c r="Y3" s="10">
        <f t="shared" si="8"/>
        <v>12</v>
      </c>
      <c r="Z3" s="10">
        <f t="shared" si="8"/>
        <v>11</v>
      </c>
      <c r="AA3" s="10">
        <f t="shared" si="8"/>
        <v>10</v>
      </c>
      <c r="AB3" s="10">
        <f t="shared" si="9"/>
        <v>212</v>
      </c>
      <c r="AC3" s="5"/>
      <c r="AD3" s="5"/>
    </row>
    <row r="4">
      <c r="A4" s="8">
        <v>1.03</v>
      </c>
      <c r="B4" s="9">
        <v>5655.0</v>
      </c>
      <c r="C4" s="10">
        <f t="shared" si="2"/>
        <v>95.09489457</v>
      </c>
      <c r="D4" s="10">
        <f t="shared" si="3"/>
        <v>96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190</v>
      </c>
      <c r="J4" s="10">
        <f t="shared" si="6"/>
        <v>0.1897891409</v>
      </c>
      <c r="K4" s="10">
        <f t="shared" si="10"/>
        <v>190</v>
      </c>
      <c r="L4" s="11">
        <f t="shared" si="7"/>
        <v>96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8</v>
      </c>
      <c r="S4" s="10">
        <f t="shared" si="11"/>
        <v>6.5</v>
      </c>
      <c r="T4" s="10">
        <f t="shared" si="11"/>
        <v>6</v>
      </c>
      <c r="U4" s="10">
        <f t="shared" si="11"/>
        <v>5.5</v>
      </c>
      <c r="V4" s="10">
        <f t="shared" si="11"/>
        <v>5</v>
      </c>
      <c r="W4" s="10">
        <f t="shared" si="11"/>
        <v>4.5</v>
      </c>
      <c r="X4" s="10">
        <f t="shared" si="11"/>
        <v>4</v>
      </c>
      <c r="Y4" s="10">
        <f t="shared" si="11"/>
        <v>4</v>
      </c>
      <c r="Z4" s="10">
        <f t="shared" si="11"/>
        <v>3.5</v>
      </c>
      <c r="AA4" s="10">
        <f t="shared" si="11"/>
        <v>3</v>
      </c>
      <c r="AB4" s="10">
        <f t="shared" si="9"/>
        <v>67.5</v>
      </c>
      <c r="AC4" s="5"/>
      <c r="AD4" s="5"/>
    </row>
    <row r="5">
      <c r="A5" s="8">
        <v>1.04</v>
      </c>
      <c r="B5" s="9">
        <v>5263.0</v>
      </c>
      <c r="C5" s="10">
        <f t="shared" si="2"/>
        <v>84.94144699</v>
      </c>
      <c r="D5" s="10">
        <f t="shared" si="3"/>
        <v>86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169</v>
      </c>
      <c r="J5" s="10">
        <f t="shared" si="6"/>
        <v>0.8828939733</v>
      </c>
      <c r="K5" s="10">
        <f t="shared" si="10"/>
        <v>170</v>
      </c>
      <c r="L5" s="11">
        <f t="shared" si="7"/>
        <v>86</v>
      </c>
      <c r="M5" s="7"/>
      <c r="N5" s="7"/>
      <c r="O5" s="5" t="s">
        <v>13</v>
      </c>
      <c r="P5" s="10">
        <f t="shared" ref="P5:AA5" si="12">INDEX($L$1:$L$73, 2 + (ROW()-ROW($P$2))*12 + (COLUMN()-COLUMN($P$2)))</f>
        <v>3</v>
      </c>
      <c r="Q5" s="10">
        <f t="shared" si="12"/>
        <v>2.5</v>
      </c>
      <c r="R5" s="10">
        <f t="shared" si="12"/>
        <v>2.5</v>
      </c>
      <c r="S5" s="10">
        <f t="shared" si="12"/>
        <v>2.5</v>
      </c>
      <c r="T5" s="10">
        <f t="shared" si="12"/>
        <v>2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1.5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24.5</v>
      </c>
      <c r="AC5" s="5"/>
      <c r="AD5" s="5"/>
    </row>
    <row r="6">
      <c r="A6" s="8">
        <v>1.05</v>
      </c>
      <c r="B6" s="9">
        <v>5012.0</v>
      </c>
      <c r="C6" s="10">
        <f t="shared" si="2"/>
        <v>75.84174891</v>
      </c>
      <c r="D6" s="10">
        <f t="shared" si="3"/>
        <v>77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151</v>
      </c>
      <c r="J6" s="10">
        <f t="shared" si="6"/>
        <v>0.6834978222</v>
      </c>
      <c r="K6" s="10">
        <f t="shared" si="10"/>
        <v>152</v>
      </c>
      <c r="L6" s="11">
        <f t="shared" si="7"/>
        <v>77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4716.0</v>
      </c>
      <c r="C7" s="10">
        <f t="shared" si="2"/>
        <v>67.83501727</v>
      </c>
      <c r="D7" s="10">
        <f t="shared" si="3"/>
        <v>69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135</v>
      </c>
      <c r="J7" s="10">
        <f t="shared" si="6"/>
        <v>0.6700345437</v>
      </c>
      <c r="K7" s="10">
        <f t="shared" si="10"/>
        <v>136</v>
      </c>
      <c r="L7" s="11">
        <f t="shared" si="7"/>
        <v>69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4608.0</v>
      </c>
      <c r="C8" s="10">
        <f t="shared" si="2"/>
        <v>61.93350077</v>
      </c>
      <c r="D8" s="10">
        <f t="shared" si="3"/>
        <v>63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123</v>
      </c>
      <c r="J8" s="10">
        <f t="shared" si="6"/>
        <v>0.8670015458</v>
      </c>
      <c r="K8" s="10">
        <f t="shared" si="10"/>
        <v>124</v>
      </c>
      <c r="L8" s="11">
        <f t="shared" si="7"/>
        <v>63</v>
      </c>
      <c r="M8" s="7"/>
      <c r="N8" s="7"/>
      <c r="O8" s="7"/>
      <c r="P8" s="10">
        <f t="shared" ref="P8:AB8" si="15">SUM(P2:P7)</f>
        <v>183</v>
      </c>
      <c r="Q8" s="10">
        <f t="shared" si="15"/>
        <v>147</v>
      </c>
      <c r="R8" s="10">
        <f t="shared" si="15"/>
        <v>132.5</v>
      </c>
      <c r="S8" s="10">
        <f t="shared" si="15"/>
        <v>119</v>
      </c>
      <c r="T8" s="10">
        <f t="shared" si="15"/>
        <v>106.5</v>
      </c>
      <c r="U8" s="10">
        <f t="shared" si="15"/>
        <v>96.5</v>
      </c>
      <c r="V8" s="10">
        <f t="shared" si="15"/>
        <v>88.5</v>
      </c>
      <c r="W8" s="10">
        <f t="shared" si="15"/>
        <v>81.5</v>
      </c>
      <c r="X8" s="10">
        <f t="shared" si="15"/>
        <v>71</v>
      </c>
      <c r="Y8" s="10">
        <f t="shared" si="15"/>
        <v>64</v>
      </c>
      <c r="Z8" s="10">
        <f t="shared" si="15"/>
        <v>58.5</v>
      </c>
      <c r="AA8" s="10">
        <f t="shared" si="15"/>
        <v>52</v>
      </c>
      <c r="AB8" s="10">
        <f t="shared" si="15"/>
        <v>1200</v>
      </c>
      <c r="AC8" s="5"/>
      <c r="AD8" s="5"/>
    </row>
    <row r="9">
      <c r="A9" s="8">
        <v>1.08</v>
      </c>
      <c r="B9" s="9">
        <v>4496.0</v>
      </c>
      <c r="C9" s="10">
        <f t="shared" si="2"/>
        <v>56.77893357</v>
      </c>
      <c r="D9" s="10">
        <f t="shared" si="3"/>
        <v>58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113</v>
      </c>
      <c r="J9" s="10">
        <f t="shared" si="6"/>
        <v>0.5578671413</v>
      </c>
      <c r="K9" s="10">
        <f t="shared" si="10"/>
        <v>114</v>
      </c>
      <c r="L9" s="11">
        <f t="shared" si="7"/>
        <v>58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3962.0</v>
      </c>
      <c r="C10" s="10">
        <f t="shared" si="2"/>
        <v>48.84719592</v>
      </c>
      <c r="D10" s="10">
        <f t="shared" si="3"/>
        <v>50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97</v>
      </c>
      <c r="J10" s="10">
        <f t="shared" si="6"/>
        <v>0.6943918419</v>
      </c>
      <c r="K10" s="10">
        <f t="shared" si="10"/>
        <v>98</v>
      </c>
      <c r="L10" s="11">
        <f t="shared" si="7"/>
        <v>50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3852.0</v>
      </c>
      <c r="C11" s="10">
        <f t="shared" si="2"/>
        <v>43.27287131</v>
      </c>
      <c r="D11" s="10">
        <f t="shared" si="3"/>
        <v>44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86</v>
      </c>
      <c r="J11" s="10">
        <f t="shared" si="6"/>
        <v>0.5457426166</v>
      </c>
      <c r="K11" s="10">
        <f t="shared" si="10"/>
        <v>86</v>
      </c>
      <c r="L11" s="11">
        <f t="shared" si="7"/>
        <v>44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3655.0</v>
      </c>
      <c r="C12" s="10">
        <f t="shared" si="2"/>
        <v>38.94398666</v>
      </c>
      <c r="D12" s="10">
        <f t="shared" si="3"/>
        <v>40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77</v>
      </c>
      <c r="J12" s="10">
        <f t="shared" si="6"/>
        <v>0.8879733251</v>
      </c>
      <c r="K12" s="10">
        <f t="shared" si="10"/>
        <v>78</v>
      </c>
      <c r="L12" s="11">
        <f t="shared" si="7"/>
        <v>40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3490.0</v>
      </c>
      <c r="C13" s="10">
        <f t="shared" si="2"/>
        <v>34.17979276</v>
      </c>
      <c r="D13" s="10">
        <f t="shared" si="3"/>
        <v>35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68</v>
      </c>
      <c r="J13" s="10">
        <f t="shared" si="6"/>
        <v>0.3595855109</v>
      </c>
      <c r="K13" s="10">
        <f t="shared" si="10"/>
        <v>68</v>
      </c>
      <c r="L13" s="11">
        <f t="shared" si="7"/>
        <v>35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2956.0</v>
      </c>
      <c r="C14" s="10">
        <f t="shared" si="2"/>
        <v>28.3198364</v>
      </c>
      <c r="D14" s="10">
        <f t="shared" si="3"/>
        <v>28.5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56</v>
      </c>
      <c r="J14" s="10">
        <f t="shared" si="6"/>
        <v>0.6396727915</v>
      </c>
      <c r="K14" s="10">
        <f t="shared" si="10"/>
        <v>57</v>
      </c>
      <c r="L14" s="11">
        <f t="shared" si="7"/>
        <v>28.5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2916.0</v>
      </c>
      <c r="C15" s="10">
        <f t="shared" si="2"/>
        <v>25.62991281</v>
      </c>
      <c r="D15" s="10">
        <f t="shared" si="3"/>
        <v>25.5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51</v>
      </c>
      <c r="J15" s="10">
        <f t="shared" si="6"/>
        <v>0.2598256233</v>
      </c>
      <c r="K15" s="10">
        <f t="shared" si="10"/>
        <v>51</v>
      </c>
      <c r="L15" s="11">
        <f t="shared" si="7"/>
        <v>25.5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2874.0</v>
      </c>
      <c r="C16" s="10">
        <f t="shared" si="2"/>
        <v>23.5550663</v>
      </c>
      <c r="D16" s="10">
        <f t="shared" si="3"/>
        <v>23.5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47</v>
      </c>
      <c r="J16" s="10">
        <f t="shared" si="6"/>
        <v>0.1101326074</v>
      </c>
      <c r="K16" s="10">
        <f t="shared" si="10"/>
        <v>47</v>
      </c>
      <c r="L16" s="11">
        <f t="shared" si="7"/>
        <v>23.5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2870.0</v>
      </c>
      <c r="C17" s="10">
        <f t="shared" si="2"/>
        <v>21.66981819</v>
      </c>
      <c r="D17" s="10">
        <f t="shared" si="3"/>
        <v>21.5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43</v>
      </c>
      <c r="J17" s="10">
        <f t="shared" si="6"/>
        <v>0.3396363836</v>
      </c>
      <c r="K17" s="10">
        <f t="shared" si="10"/>
        <v>43</v>
      </c>
      <c r="L17" s="11">
        <f t="shared" si="7"/>
        <v>21.5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2724.0</v>
      </c>
      <c r="C18" s="10">
        <f t="shared" si="2"/>
        <v>19.19835733</v>
      </c>
      <c r="D18" s="10">
        <f t="shared" si="3"/>
        <v>19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38</v>
      </c>
      <c r="J18" s="10">
        <f t="shared" si="6"/>
        <v>0.396714658</v>
      </c>
      <c r="K18" s="10">
        <f t="shared" si="10"/>
        <v>38</v>
      </c>
      <c r="L18" s="11">
        <f t="shared" si="7"/>
        <v>19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2635.0</v>
      </c>
      <c r="C19" s="10">
        <f t="shared" si="2"/>
        <v>17.50331703</v>
      </c>
      <c r="D19" s="10">
        <f t="shared" si="3"/>
        <v>17.5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35</v>
      </c>
      <c r="J19" s="10">
        <f t="shared" si="6"/>
        <v>0.006634064342</v>
      </c>
      <c r="K19" s="10">
        <f t="shared" si="10"/>
        <v>35</v>
      </c>
      <c r="L19" s="11">
        <f t="shared" si="7"/>
        <v>17.5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2614.0</v>
      </c>
      <c r="C20" s="10">
        <f t="shared" si="2"/>
        <v>15.97357762</v>
      </c>
      <c r="D20" s="10">
        <f t="shared" si="3"/>
        <v>16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31</v>
      </c>
      <c r="J20" s="10">
        <f t="shared" si="6"/>
        <v>0.9471552331</v>
      </c>
      <c r="K20" s="10">
        <f t="shared" si="10"/>
        <v>32</v>
      </c>
      <c r="L20" s="11">
        <f t="shared" si="7"/>
        <v>16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2551.0</v>
      </c>
      <c r="C21" s="10">
        <f t="shared" si="2"/>
        <v>14.57042068</v>
      </c>
      <c r="D21" s="10">
        <f t="shared" si="3"/>
        <v>14.5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29</v>
      </c>
      <c r="J21" s="10">
        <f t="shared" si="6"/>
        <v>0.1408413679</v>
      </c>
      <c r="K21" s="10">
        <f t="shared" si="10"/>
        <v>29</v>
      </c>
      <c r="L21" s="11">
        <f t="shared" si="7"/>
        <v>14.5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2485.0</v>
      </c>
      <c r="C22" s="10">
        <f t="shared" si="2"/>
        <v>13.20114215</v>
      </c>
      <c r="D22" s="10">
        <f t="shared" si="3"/>
        <v>13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26</v>
      </c>
      <c r="J22" s="10">
        <f t="shared" si="6"/>
        <v>0.4022843027</v>
      </c>
      <c r="K22" s="10">
        <f t="shared" si="10"/>
        <v>26</v>
      </c>
      <c r="L22" s="11">
        <f t="shared" si="7"/>
        <v>13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2449.0</v>
      </c>
      <c r="C23" s="10">
        <f t="shared" si="2"/>
        <v>11.88357616</v>
      </c>
      <c r="D23" s="10">
        <f t="shared" si="3"/>
        <v>12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23</v>
      </c>
      <c r="J23" s="10">
        <f t="shared" si="6"/>
        <v>0.7671523235</v>
      </c>
      <c r="K23" s="10">
        <f t="shared" si="10"/>
        <v>24</v>
      </c>
      <c r="L23" s="11">
        <f t="shared" si="7"/>
        <v>12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2393.0</v>
      </c>
      <c r="C24" s="10">
        <f t="shared" si="2"/>
        <v>10.86498137</v>
      </c>
      <c r="D24" s="10">
        <f t="shared" si="3"/>
        <v>11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0.7299627311</v>
      </c>
      <c r="K24" s="10">
        <f t="shared" si="10"/>
        <v>22</v>
      </c>
      <c r="L24" s="11">
        <f t="shared" si="7"/>
        <v>11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2349.0</v>
      </c>
      <c r="C25" s="10">
        <f t="shared" si="2"/>
        <v>10.09371747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20</v>
      </c>
      <c r="J25" s="10">
        <f t="shared" si="6"/>
        <v>0.1874349454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2331.0</v>
      </c>
      <c r="C26" s="10">
        <f t="shared" si="2"/>
        <v>9.260413184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0.5208263684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2321.0</v>
      </c>
      <c r="C27" s="10">
        <f t="shared" si="2"/>
        <v>8.609091984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17</v>
      </c>
      <c r="J27" s="10">
        <f t="shared" si="6"/>
        <v>0.2181839685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2300.0</v>
      </c>
      <c r="C28" s="10">
        <f t="shared" si="2"/>
        <v>7.870024625</v>
      </c>
      <c r="D28" s="10">
        <f t="shared" si="3"/>
        <v>8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15</v>
      </c>
      <c r="J28" s="10">
        <f t="shared" si="6"/>
        <v>0.7400492507</v>
      </c>
      <c r="K28" s="10">
        <f t="shared" si="10"/>
        <v>16</v>
      </c>
      <c r="L28" s="11">
        <f t="shared" si="7"/>
        <v>8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1855.0</v>
      </c>
      <c r="C29" s="10">
        <f t="shared" si="2"/>
        <v>6.526501992</v>
      </c>
      <c r="D29" s="10">
        <f t="shared" si="3"/>
        <v>6.5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0.05300398382</v>
      </c>
      <c r="K29" s="10">
        <f t="shared" si="10"/>
        <v>13</v>
      </c>
      <c r="L29" s="11">
        <f t="shared" si="7"/>
        <v>6.5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1742.0</v>
      </c>
      <c r="C30" s="10">
        <f t="shared" si="2"/>
        <v>5.923832598</v>
      </c>
      <c r="D30" s="10">
        <f t="shared" si="3"/>
        <v>6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11</v>
      </c>
      <c r="J30" s="10">
        <f t="shared" si="6"/>
        <v>0.8476651953</v>
      </c>
      <c r="K30" s="10">
        <f t="shared" si="10"/>
        <v>12</v>
      </c>
      <c r="L30" s="11">
        <f t="shared" si="7"/>
        <v>6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1.0</v>
      </c>
      <c r="W30" s="12" t="s">
        <v>26</v>
      </c>
      <c r="X30" s="13" t="s">
        <v>27</v>
      </c>
      <c r="Y30" s="7" t="str">
        <f t="shared" ref="Y30:Y81" si="17">TEXT(V30,"0")&amp;"|"&amp;TRIM(W30)</f>
        <v>1|Blaine</v>
      </c>
      <c r="Z30" s="7"/>
      <c r="AA30" s="7"/>
      <c r="AB30" s="7"/>
      <c r="AC30" s="7"/>
      <c r="AD30" s="7"/>
    </row>
    <row r="31">
      <c r="A31" s="8">
        <v>3.06</v>
      </c>
      <c r="B31" s="9">
        <v>1653.0</v>
      </c>
      <c r="C31" s="10">
        <f t="shared" si="2"/>
        <v>5.398808901</v>
      </c>
      <c r="D31" s="10">
        <f t="shared" si="3"/>
        <v>5.5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10</v>
      </c>
      <c r="J31" s="10">
        <f t="shared" si="6"/>
        <v>0.7976178026</v>
      </c>
      <c r="K31" s="10">
        <f t="shared" si="10"/>
        <v>11</v>
      </c>
      <c r="L31" s="11">
        <f t="shared" si="7"/>
        <v>5.5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4">
        <v>1.0</v>
      </c>
      <c r="W31" s="13" t="s">
        <v>25</v>
      </c>
      <c r="X31" s="13" t="s">
        <v>27</v>
      </c>
      <c r="Y31" s="7" t="str">
        <f t="shared" si="17"/>
        <v>1|Ed</v>
      </c>
      <c r="Z31" s="7"/>
      <c r="AA31" s="7"/>
      <c r="AB31" s="7"/>
      <c r="AC31" s="7"/>
      <c r="AD31" s="7"/>
    </row>
    <row r="32">
      <c r="A32" s="8">
        <v>3.07</v>
      </c>
      <c r="B32" s="9">
        <v>1615.0</v>
      </c>
      <c r="C32" s="10">
        <f t="shared" si="2"/>
        <v>4.810713002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9</v>
      </c>
      <c r="J32" s="10">
        <f t="shared" si="6"/>
        <v>0.6214260039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29</v>
      </c>
      <c r="Q32" s="7"/>
      <c r="R32" s="4">
        <v>10.0</v>
      </c>
      <c r="S32" s="7"/>
      <c r="T32" s="7" t="str">
        <f t="shared" si="16"/>
        <v>Joey</v>
      </c>
      <c r="U32" s="7"/>
      <c r="V32" s="14">
        <v>2.0</v>
      </c>
      <c r="W32" s="13" t="s">
        <v>26</v>
      </c>
      <c r="X32" s="13" t="s">
        <v>27</v>
      </c>
      <c r="Y32" s="7" t="str">
        <f t="shared" si="17"/>
        <v>2|Blaine</v>
      </c>
      <c r="Z32" s="7"/>
      <c r="AA32" s="7"/>
      <c r="AB32" s="7"/>
      <c r="AC32" s="7"/>
      <c r="AD32" s="7"/>
    </row>
    <row r="33">
      <c r="A33" s="8">
        <v>3.08</v>
      </c>
      <c r="B33" s="9">
        <v>1606.0</v>
      </c>
      <c r="C33" s="10">
        <f t="shared" si="2"/>
        <v>4.475243412</v>
      </c>
      <c r="D33" s="10">
        <f t="shared" si="3"/>
        <v>4.5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8</v>
      </c>
      <c r="J33" s="10">
        <f t="shared" si="6"/>
        <v>0.9504868244</v>
      </c>
      <c r="K33" s="10">
        <f t="shared" si="10"/>
        <v>9</v>
      </c>
      <c r="L33" s="11">
        <f t="shared" si="7"/>
        <v>4.5</v>
      </c>
      <c r="M33" s="7"/>
      <c r="N33" s="7"/>
      <c r="O33" s="4">
        <v>4.0</v>
      </c>
      <c r="P33" s="5" t="s">
        <v>30</v>
      </c>
      <c r="Q33" s="7"/>
      <c r="R33" s="4">
        <v>9.0</v>
      </c>
      <c r="S33" s="7"/>
      <c r="T33" s="7" t="str">
        <f t="shared" si="16"/>
        <v>MaKayla</v>
      </c>
      <c r="U33" s="7"/>
      <c r="V33" s="14">
        <v>2.0</v>
      </c>
      <c r="W33" s="13" t="s">
        <v>31</v>
      </c>
      <c r="X33" s="13" t="s">
        <v>27</v>
      </c>
      <c r="Y33" s="7" t="str">
        <f t="shared" si="17"/>
        <v>2|Collin</v>
      </c>
      <c r="Z33" s="7"/>
      <c r="AA33" s="7"/>
      <c r="AB33" s="7"/>
      <c r="AC33" s="7"/>
      <c r="AD33" s="7"/>
    </row>
    <row r="34">
      <c r="A34" s="8">
        <v>3.09</v>
      </c>
      <c r="B34" s="9">
        <v>1550.0</v>
      </c>
      <c r="C34" s="10">
        <f t="shared" si="2"/>
        <v>4.068494974</v>
      </c>
      <c r="D34" s="10">
        <f t="shared" si="3"/>
        <v>4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0.1369899471</v>
      </c>
      <c r="K34" s="10">
        <f t="shared" si="10"/>
        <v>8</v>
      </c>
      <c r="L34" s="11">
        <f t="shared" si="7"/>
        <v>4</v>
      </c>
      <c r="M34" s="7"/>
      <c r="N34" s="7"/>
      <c r="O34" s="4">
        <v>5.0</v>
      </c>
      <c r="P34" s="5" t="s">
        <v>32</v>
      </c>
      <c r="Q34" s="7"/>
      <c r="R34" s="4">
        <v>8.0</v>
      </c>
      <c r="S34" s="7"/>
      <c r="T34" s="7" t="str">
        <f t="shared" si="16"/>
        <v>Ty</v>
      </c>
      <c r="U34" s="7"/>
      <c r="V34" s="14">
        <v>2.0</v>
      </c>
      <c r="W34" s="13" t="s">
        <v>33</v>
      </c>
      <c r="X34" s="13" t="s">
        <v>27</v>
      </c>
      <c r="Y34" s="7" t="str">
        <f t="shared" si="17"/>
        <v>2|Kich</v>
      </c>
      <c r="Z34" s="7"/>
      <c r="AA34" s="7"/>
      <c r="AB34" s="7"/>
      <c r="AC34" s="7"/>
      <c r="AD34" s="7"/>
    </row>
    <row r="35">
      <c r="A35" s="8">
        <v>3.1</v>
      </c>
      <c r="B35" s="9">
        <v>1498.0</v>
      </c>
      <c r="C35" s="10">
        <f t="shared" si="2"/>
        <v>3.850505722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7</v>
      </c>
      <c r="J35" s="10">
        <f t="shared" si="6"/>
        <v>0.7010114442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33</v>
      </c>
      <c r="Q35" s="7"/>
      <c r="R35" s="4">
        <v>7.0</v>
      </c>
      <c r="S35" s="7"/>
      <c r="T35" s="7" t="str">
        <f t="shared" si="16"/>
        <v>Kich</v>
      </c>
      <c r="U35" s="7"/>
      <c r="V35" s="14">
        <v>2.0</v>
      </c>
      <c r="W35" s="13" t="s">
        <v>32</v>
      </c>
      <c r="X35" s="13" t="s">
        <v>27</v>
      </c>
      <c r="Y35" s="7" t="str">
        <f t="shared" si="17"/>
        <v>2|Ty</v>
      </c>
      <c r="Z35" s="7"/>
      <c r="AA35" s="7"/>
      <c r="AB35" s="7"/>
      <c r="AC35" s="7"/>
      <c r="AD35" s="7"/>
    </row>
    <row r="36">
      <c r="A36" s="8">
        <v>3.11</v>
      </c>
      <c r="B36" s="9">
        <v>1270.0</v>
      </c>
      <c r="C36" s="10">
        <f t="shared" si="2"/>
        <v>3.31975183</v>
      </c>
      <c r="D36" s="10">
        <f t="shared" si="3"/>
        <v>3.5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0.6395036593</v>
      </c>
      <c r="K36" s="10">
        <f t="shared" si="10"/>
        <v>7</v>
      </c>
      <c r="L36" s="11">
        <f t="shared" si="7"/>
        <v>3.5</v>
      </c>
      <c r="M36" s="7"/>
      <c r="N36" s="7"/>
      <c r="O36" s="4">
        <v>7.0</v>
      </c>
      <c r="P36" s="5" t="s">
        <v>34</v>
      </c>
      <c r="Q36" s="7"/>
      <c r="R36" s="4">
        <v>6.0</v>
      </c>
      <c r="S36" s="7"/>
      <c r="T36" s="7" t="str">
        <f t="shared" si="16"/>
        <v>Eric</v>
      </c>
      <c r="U36" s="7"/>
      <c r="V36" s="14">
        <v>2.0</v>
      </c>
      <c r="W36" s="13" t="s">
        <v>29</v>
      </c>
      <c r="X36" s="13" t="s">
        <v>27</v>
      </c>
      <c r="Y36" s="7" t="str">
        <f t="shared" si="17"/>
        <v>2|Joey</v>
      </c>
      <c r="Z36" s="7"/>
      <c r="AA36" s="7"/>
      <c r="AB36" s="7"/>
      <c r="AC36" s="7"/>
      <c r="AD36" s="7"/>
    </row>
    <row r="37">
      <c r="A37" s="8">
        <v>3.12</v>
      </c>
      <c r="B37" s="9">
        <v>1242.0</v>
      </c>
      <c r="C37" s="10">
        <f t="shared" si="2"/>
        <v>3.203009774</v>
      </c>
      <c r="D37" s="10">
        <f t="shared" si="3"/>
        <v>3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6</v>
      </c>
      <c r="J37" s="10">
        <f t="shared" si="6"/>
        <v>0.4060195486</v>
      </c>
      <c r="K37" s="10">
        <f t="shared" si="10"/>
        <v>6</v>
      </c>
      <c r="L37" s="11">
        <f t="shared" si="7"/>
        <v>3</v>
      </c>
      <c r="M37" s="7"/>
      <c r="N37" s="7"/>
      <c r="O37" s="4">
        <v>8.0</v>
      </c>
      <c r="P37" s="5" t="s">
        <v>31</v>
      </c>
      <c r="Q37" s="7"/>
      <c r="R37" s="4">
        <v>5.0</v>
      </c>
      <c r="S37" s="7"/>
      <c r="T37" s="7" t="str">
        <f t="shared" si="16"/>
        <v>Collin</v>
      </c>
      <c r="U37" s="7"/>
      <c r="V37" s="14">
        <v>3.0</v>
      </c>
      <c r="W37" s="13" t="s">
        <v>35</v>
      </c>
      <c r="X37" s="13" t="s">
        <v>27</v>
      </c>
      <c r="Y37" s="7" t="str">
        <f t="shared" si="17"/>
        <v>3|Roy</v>
      </c>
      <c r="Z37" s="7"/>
      <c r="AA37" s="7"/>
      <c r="AB37" s="7"/>
      <c r="AC37" s="7"/>
      <c r="AD37" s="7"/>
    </row>
    <row r="38">
      <c r="A38" s="8">
        <v>4.01</v>
      </c>
      <c r="B38" s="9">
        <v>1055.0</v>
      </c>
      <c r="C38" s="10">
        <f t="shared" si="2"/>
        <v>2.804449097</v>
      </c>
      <c r="D38" s="10">
        <f t="shared" si="3"/>
        <v>3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5</v>
      </c>
      <c r="J38" s="10">
        <f t="shared" si="6"/>
        <v>0.6088981937</v>
      </c>
      <c r="K38" s="10">
        <f t="shared" si="10"/>
        <v>6</v>
      </c>
      <c r="L38" s="11">
        <f t="shared" si="7"/>
        <v>3</v>
      </c>
      <c r="M38" s="7"/>
      <c r="N38" s="7"/>
      <c r="O38" s="4">
        <v>9.0</v>
      </c>
      <c r="P38" s="5" t="s">
        <v>35</v>
      </c>
      <c r="Q38" s="7"/>
      <c r="R38" s="4">
        <v>4.0</v>
      </c>
      <c r="S38" s="7"/>
      <c r="T38" s="7" t="str">
        <f t="shared" si="16"/>
        <v>Roy</v>
      </c>
      <c r="U38" s="7"/>
      <c r="V38" s="14">
        <v>3.0</v>
      </c>
      <c r="W38" s="13" t="s">
        <v>28</v>
      </c>
      <c r="X38" s="13" t="s">
        <v>27</v>
      </c>
      <c r="Y38" s="7" t="str">
        <f t="shared" si="17"/>
        <v>3|Brent</v>
      </c>
      <c r="Z38" s="7"/>
      <c r="AA38" s="7"/>
      <c r="AB38" s="7"/>
      <c r="AC38" s="7"/>
      <c r="AD38" s="7"/>
    </row>
    <row r="39">
      <c r="A39" s="8">
        <v>4.02</v>
      </c>
      <c r="B39" s="9">
        <v>1050.0</v>
      </c>
      <c r="C39" s="10">
        <f t="shared" si="2"/>
        <v>2.702537893</v>
      </c>
      <c r="D39" s="10">
        <f t="shared" si="3"/>
        <v>2.5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0.4050757865</v>
      </c>
      <c r="K39" s="10">
        <f t="shared" si="10"/>
        <v>5</v>
      </c>
      <c r="L39" s="11">
        <f t="shared" si="7"/>
        <v>2.5</v>
      </c>
      <c r="M39" s="7"/>
      <c r="N39" s="7"/>
      <c r="O39" s="4">
        <v>10.0</v>
      </c>
      <c r="P39" s="5" t="s">
        <v>27</v>
      </c>
      <c r="Q39" s="7"/>
      <c r="R39" s="4">
        <v>3.0</v>
      </c>
      <c r="S39" s="7"/>
      <c r="T39" s="7" t="str">
        <f t="shared" si="16"/>
        <v>Jason</v>
      </c>
      <c r="U39" s="7"/>
      <c r="V39" s="14">
        <v>4.0</v>
      </c>
      <c r="W39" s="13" t="s">
        <v>35</v>
      </c>
      <c r="X39" s="13" t="s">
        <v>27</v>
      </c>
      <c r="Y39" s="7" t="str">
        <f t="shared" si="17"/>
        <v>4|Roy</v>
      </c>
      <c r="Z39" s="7"/>
      <c r="AA39" s="7"/>
      <c r="AB39" s="7"/>
      <c r="AC39" s="7"/>
      <c r="AD39" s="7"/>
    </row>
    <row r="40">
      <c r="A40" s="8">
        <v>4.03</v>
      </c>
      <c r="B40" s="9">
        <v>996.0</v>
      </c>
      <c r="C40" s="10">
        <f t="shared" si="2"/>
        <v>2.441223105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4</v>
      </c>
      <c r="J40" s="10">
        <f t="shared" si="6"/>
        <v>0.8824462108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26</v>
      </c>
      <c r="Q40" s="7"/>
      <c r="R40" s="4">
        <v>2.0</v>
      </c>
      <c r="S40" s="7"/>
      <c r="T40" s="7" t="str">
        <f t="shared" si="16"/>
        <v>Blaine</v>
      </c>
      <c r="U40" s="7"/>
      <c r="V40" s="14">
        <v>4.0</v>
      </c>
      <c r="W40" s="13" t="s">
        <v>31</v>
      </c>
      <c r="X40" s="13" t="s">
        <v>27</v>
      </c>
      <c r="Y40" s="7" t="str">
        <f t="shared" si="17"/>
        <v>4|Collin</v>
      </c>
      <c r="Z40" s="7"/>
      <c r="AA40" s="7"/>
      <c r="AB40" s="7"/>
      <c r="AC40" s="7"/>
      <c r="AD40" s="7"/>
    </row>
    <row r="41">
      <c r="A41" s="8">
        <v>4.04</v>
      </c>
      <c r="B41" s="9">
        <v>980.0</v>
      </c>
      <c r="C41" s="10">
        <f t="shared" si="2"/>
        <v>2.37835901</v>
      </c>
      <c r="D41" s="10">
        <f t="shared" si="3"/>
        <v>2.5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4</v>
      </c>
      <c r="J41" s="10">
        <f t="shared" si="6"/>
        <v>0.7567180198</v>
      </c>
      <c r="K41" s="10">
        <f t="shared" si="10"/>
        <v>5</v>
      </c>
      <c r="L41" s="11">
        <f t="shared" si="7"/>
        <v>2.5</v>
      </c>
      <c r="M41" s="7"/>
      <c r="N41" s="7"/>
      <c r="O41" s="4">
        <v>12.0</v>
      </c>
      <c r="P41" s="5" t="s">
        <v>36</v>
      </c>
      <c r="Q41" s="7"/>
      <c r="R41" s="4">
        <v>1.0</v>
      </c>
      <c r="S41" s="7"/>
      <c r="T41" s="7" t="str">
        <f t="shared" si="16"/>
        <v>Joel</v>
      </c>
      <c r="U41" s="7"/>
      <c r="V41" s="14">
        <v>4.0</v>
      </c>
      <c r="W41" s="13" t="s">
        <v>34</v>
      </c>
      <c r="X41" s="13" t="s">
        <v>27</v>
      </c>
      <c r="Y41" s="7" t="str">
        <f t="shared" si="17"/>
        <v>4|Eric</v>
      </c>
      <c r="Z41" s="7"/>
      <c r="AA41" s="7"/>
      <c r="AB41" s="7"/>
      <c r="AC41" s="7"/>
      <c r="AD41" s="7"/>
    </row>
    <row r="42">
      <c r="A42" s="8">
        <v>4.05</v>
      </c>
      <c r="B42" s="13">
        <v>961.0</v>
      </c>
      <c r="C42" s="10">
        <f t="shared" si="2"/>
        <v>2.1553673</v>
      </c>
      <c r="D42" s="10">
        <f t="shared" si="3"/>
        <v>2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0.3107345999</v>
      </c>
      <c r="K42" s="10">
        <f t="shared" si="10"/>
        <v>4</v>
      </c>
      <c r="L42" s="11">
        <f t="shared" si="7"/>
        <v>2</v>
      </c>
      <c r="M42" s="7"/>
      <c r="N42" s="7"/>
      <c r="O42" s="7"/>
      <c r="P42" s="7"/>
      <c r="Q42" s="7"/>
      <c r="R42" s="7"/>
      <c r="S42" s="7"/>
      <c r="T42" s="7"/>
      <c r="U42" s="7"/>
      <c r="V42" s="14">
        <v>4.0</v>
      </c>
      <c r="W42" s="13" t="s">
        <v>30</v>
      </c>
      <c r="X42" s="13" t="s">
        <v>27</v>
      </c>
      <c r="Y42" s="7" t="str">
        <f t="shared" si="17"/>
        <v>4|MaKayla</v>
      </c>
      <c r="Z42" s="7"/>
      <c r="AA42" s="7"/>
      <c r="AB42" s="7"/>
      <c r="AC42" s="7"/>
      <c r="AD42" s="7"/>
    </row>
    <row r="43">
      <c r="A43" s="8">
        <v>4.06</v>
      </c>
      <c r="B43" s="9">
        <v>959.0</v>
      </c>
      <c r="C43" s="10">
        <f t="shared" si="2"/>
        <v>2.078137938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0.1562758754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4">
        <v>4.0</v>
      </c>
      <c r="W43" s="13" t="s">
        <v>28</v>
      </c>
      <c r="X43" s="13" t="s">
        <v>27</v>
      </c>
      <c r="Y43" s="7" t="str">
        <f t="shared" si="17"/>
        <v>4|Brent</v>
      </c>
      <c r="Z43" s="7"/>
      <c r="AA43" s="7"/>
      <c r="AB43" s="7"/>
      <c r="AC43" s="7"/>
      <c r="AD43" s="7"/>
    </row>
    <row r="44">
      <c r="A44" s="8">
        <v>4.07</v>
      </c>
      <c r="B44" s="9">
        <v>930.0</v>
      </c>
      <c r="C44" s="10">
        <f t="shared" si="2"/>
        <v>2.023645168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0.04729033657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37</v>
      </c>
      <c r="R44" s="5" t="s">
        <v>17</v>
      </c>
      <c r="S44" s="7"/>
      <c r="T44" s="7"/>
      <c r="U44" s="7"/>
      <c r="V44" s="14">
        <v>4.0</v>
      </c>
      <c r="W44" s="13" t="s">
        <v>25</v>
      </c>
      <c r="X44" s="13" t="s">
        <v>27</v>
      </c>
      <c r="Y44" s="7" t="str">
        <f t="shared" si="17"/>
        <v>4|Ed</v>
      </c>
      <c r="Z44" s="7"/>
      <c r="AA44" s="7"/>
      <c r="AB44" s="7"/>
      <c r="AC44" s="7"/>
      <c r="AD44" s="7"/>
    </row>
    <row r="45">
      <c r="A45" s="8">
        <v>4.08</v>
      </c>
      <c r="B45" s="9">
        <v>913.0</v>
      </c>
      <c r="C45" s="10">
        <f t="shared" si="2"/>
        <v>1.97999543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3</v>
      </c>
      <c r="J45" s="10">
        <f t="shared" si="6"/>
        <v>0.95999086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124</v>
      </c>
      <c r="R45" s="7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7"/>
      <c r="T45" s="7"/>
      <c r="U45" s="7"/>
      <c r="V45" s="14">
        <v>5.0</v>
      </c>
      <c r="W45" s="13" t="s">
        <v>34</v>
      </c>
      <c r="X45" s="13" t="s">
        <v>27</v>
      </c>
      <c r="Y45" s="7" t="str">
        <f t="shared" si="17"/>
        <v>5|Eric</v>
      </c>
      <c r="Z45" s="7"/>
      <c r="AA45" s="7"/>
      <c r="AB45" s="7"/>
      <c r="AC45" s="7"/>
      <c r="AD45" s="7"/>
    </row>
    <row r="46">
      <c r="A46" s="8">
        <v>4.09</v>
      </c>
      <c r="B46" s="9">
        <v>888.0</v>
      </c>
      <c r="C46" s="10">
        <f t="shared" si="2"/>
        <v>1.772925922</v>
      </c>
      <c r="D46" s="10">
        <f t="shared" si="3"/>
        <v>1.5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0.545851845</v>
      </c>
      <c r="K46" s="10">
        <f t="shared" si="10"/>
        <v>3</v>
      </c>
      <c r="L46" s="11">
        <f t="shared" si="7"/>
        <v>1.5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124</v>
      </c>
      <c r="R46" s="7" t="str">
        <f t="shared" si="21"/>
        <v>Jason</v>
      </c>
      <c r="S46" s="7"/>
      <c r="T46" s="7"/>
      <c r="U46" s="7"/>
      <c r="V46" s="14">
        <v>1.0</v>
      </c>
      <c r="W46" s="13" t="s">
        <v>34</v>
      </c>
      <c r="X46" s="13" t="s">
        <v>25</v>
      </c>
      <c r="Y46" s="7" t="str">
        <f t="shared" si="17"/>
        <v>1|Eric</v>
      </c>
      <c r="Z46" s="7"/>
      <c r="AA46" s="7"/>
      <c r="AB46" s="7"/>
      <c r="AC46" s="7"/>
      <c r="AD46" s="7"/>
    </row>
    <row r="47">
      <c r="A47" s="8">
        <v>4.1</v>
      </c>
      <c r="B47" s="9">
        <v>843.0</v>
      </c>
      <c r="C47" s="10">
        <f t="shared" si="2"/>
        <v>1.693250653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0.3865013066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96</v>
      </c>
      <c r="R47" s="7" t="str">
        <f t="shared" si="21"/>
        <v>Jason</v>
      </c>
      <c r="S47" s="7"/>
      <c r="T47" s="7"/>
      <c r="U47" s="7"/>
      <c r="V47" s="14">
        <v>1.0</v>
      </c>
      <c r="W47" s="13" t="s">
        <v>30</v>
      </c>
      <c r="X47" s="13" t="s">
        <v>25</v>
      </c>
      <c r="Y47" s="7" t="str">
        <f t="shared" si="17"/>
        <v>1|MaKayla</v>
      </c>
      <c r="Z47" s="7"/>
      <c r="AA47" s="7"/>
      <c r="AB47" s="7"/>
      <c r="AC47" s="7"/>
      <c r="AD47" s="7"/>
    </row>
    <row r="48">
      <c r="A48" s="8">
        <v>4.11</v>
      </c>
      <c r="B48" s="9">
        <v>781.0</v>
      </c>
      <c r="C48" s="10">
        <f t="shared" si="2"/>
        <v>1.645132586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0.2902651724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86</v>
      </c>
      <c r="R48" s="7" t="str">
        <f t="shared" si="21"/>
        <v>MaKayla</v>
      </c>
      <c r="S48" s="7"/>
      <c r="T48" s="7"/>
      <c r="U48" s="7"/>
      <c r="V48" s="14">
        <v>2.0</v>
      </c>
      <c r="W48" s="13" t="s">
        <v>35</v>
      </c>
      <c r="X48" s="13" t="s">
        <v>25</v>
      </c>
      <c r="Y48" s="7" t="str">
        <f t="shared" si="17"/>
        <v>2|Roy</v>
      </c>
      <c r="Z48" s="7"/>
      <c r="AA48" s="7"/>
      <c r="AB48" s="7"/>
      <c r="AC48" s="7"/>
      <c r="AD48" s="7"/>
    </row>
    <row r="49">
      <c r="A49" s="8">
        <v>4.12</v>
      </c>
      <c r="B49" s="9">
        <v>666.0</v>
      </c>
      <c r="C49" s="10">
        <f t="shared" si="2"/>
        <v>1.58462017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0.1692403406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77</v>
      </c>
      <c r="R49" s="7" t="str">
        <f t="shared" si="21"/>
        <v>Collin</v>
      </c>
      <c r="S49" s="7"/>
      <c r="T49" s="7"/>
      <c r="U49" s="7"/>
      <c r="V49" s="14">
        <v>5.0</v>
      </c>
      <c r="W49" s="13" t="s">
        <v>28</v>
      </c>
      <c r="X49" s="13" t="s">
        <v>25</v>
      </c>
      <c r="Y49" s="7" t="str">
        <f t="shared" si="17"/>
        <v>5|Brent</v>
      </c>
      <c r="Z49" s="7"/>
      <c r="AA49" s="7"/>
      <c r="AB49" s="7"/>
      <c r="AC49" s="7"/>
      <c r="AD49" s="7"/>
    </row>
    <row r="50">
      <c r="A50" s="8">
        <v>5.01</v>
      </c>
      <c r="B50" s="9">
        <v>637.0</v>
      </c>
      <c r="C50" s="10">
        <f t="shared" si="2"/>
        <v>2.558418166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0.1168363329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69</v>
      </c>
      <c r="R50" s="7" t="str">
        <f t="shared" si="21"/>
        <v>Ed</v>
      </c>
      <c r="S50" s="7"/>
      <c r="T50" s="7"/>
      <c r="U50" s="7"/>
      <c r="V50" s="14">
        <v>6.0</v>
      </c>
      <c r="W50" s="13" t="s">
        <v>28</v>
      </c>
      <c r="X50" s="13" t="s">
        <v>25</v>
      </c>
      <c r="Y50" s="7" t="str">
        <f t="shared" si="17"/>
        <v>6|Brent</v>
      </c>
      <c r="Z50" s="7"/>
      <c r="AA50" s="7"/>
      <c r="AB50" s="7"/>
      <c r="AC50" s="7"/>
      <c r="AD50" s="7"/>
    </row>
    <row r="51">
      <c r="A51" s="8">
        <v>5.02</v>
      </c>
      <c r="B51" s="9">
        <v>590.0</v>
      </c>
      <c r="C51" s="10">
        <f t="shared" si="2"/>
        <v>2.529760411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0.05952082165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63</v>
      </c>
      <c r="R51" s="7" t="str">
        <f t="shared" si="21"/>
        <v>Kich</v>
      </c>
      <c r="S51" s="7"/>
      <c r="T51" s="7"/>
      <c r="U51" s="7"/>
      <c r="V51" s="14">
        <v>1.0</v>
      </c>
      <c r="W51" s="13" t="s">
        <v>28</v>
      </c>
      <c r="X51" s="13" t="s">
        <v>32</v>
      </c>
      <c r="Y51" s="7" t="str">
        <f t="shared" si="17"/>
        <v>1|Brent</v>
      </c>
      <c r="Z51" s="7"/>
      <c r="AA51" s="7"/>
      <c r="AB51" s="7"/>
      <c r="AC51" s="7"/>
      <c r="AD51" s="7"/>
    </row>
    <row r="52">
      <c r="A52" s="8">
        <v>5.03</v>
      </c>
      <c r="B52" s="9">
        <v>552.0</v>
      </c>
      <c r="C52" s="10">
        <f t="shared" si="2"/>
        <v>2.506718485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0.01343696904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58</v>
      </c>
      <c r="R52" s="7" t="str">
        <f t="shared" si="21"/>
        <v>MaKayla</v>
      </c>
      <c r="S52" s="7"/>
      <c r="T52" s="7"/>
      <c r="U52" s="7"/>
      <c r="V52" s="14">
        <v>2.0</v>
      </c>
      <c r="W52" s="13" t="s">
        <v>28</v>
      </c>
      <c r="X52" s="13" t="s">
        <v>32</v>
      </c>
      <c r="Y52" s="7" t="str">
        <f t="shared" si="17"/>
        <v>2|Brent</v>
      </c>
      <c r="Z52" s="7"/>
      <c r="AA52" s="7"/>
      <c r="AB52" s="7"/>
      <c r="AC52" s="7"/>
      <c r="AD52" s="7"/>
    </row>
    <row r="53">
      <c r="A53" s="8">
        <v>5.04</v>
      </c>
      <c r="B53" s="9">
        <v>538.0</v>
      </c>
      <c r="C53" s="10">
        <f t="shared" si="2"/>
        <v>2.492079529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4</v>
      </c>
      <c r="J53" s="10">
        <f t="shared" si="6"/>
        <v>0.9841590581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50</v>
      </c>
      <c r="R53" s="7" t="str">
        <f t="shared" si="21"/>
        <v>Ed</v>
      </c>
      <c r="S53" s="7"/>
      <c r="T53" s="7"/>
      <c r="U53" s="7"/>
      <c r="V53" s="14">
        <v>5.0</v>
      </c>
      <c r="W53" s="13" t="s">
        <v>27</v>
      </c>
      <c r="X53" s="13" t="s">
        <v>32</v>
      </c>
      <c r="Y53" s="7" t="str">
        <f t="shared" si="17"/>
        <v>5|Jason</v>
      </c>
      <c r="Z53" s="7"/>
      <c r="AA53" s="7"/>
      <c r="AB53" s="7"/>
      <c r="AC53" s="7"/>
      <c r="AD53" s="7"/>
    </row>
    <row r="54">
      <c r="A54" s="8">
        <v>5.05</v>
      </c>
      <c r="B54" s="9">
        <v>486.0</v>
      </c>
      <c r="C54" s="10">
        <f t="shared" si="2"/>
        <v>2.470259875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4</v>
      </c>
      <c r="J54" s="10">
        <f t="shared" si="6"/>
        <v>0.9405197497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44</v>
      </c>
      <c r="R54" s="7" t="str">
        <f t="shared" si="21"/>
        <v>Joey</v>
      </c>
      <c r="S54" s="7"/>
      <c r="T54" s="7"/>
      <c r="U54" s="7"/>
      <c r="V54" s="14">
        <v>6.0</v>
      </c>
      <c r="W54" s="13" t="s">
        <v>27</v>
      </c>
      <c r="X54" s="13" t="s">
        <v>32</v>
      </c>
      <c r="Y54" s="7" t="str">
        <f t="shared" si="17"/>
        <v>6|Jason</v>
      </c>
      <c r="Z54" s="7"/>
      <c r="AA54" s="7"/>
      <c r="AB54" s="7"/>
      <c r="AC54" s="7"/>
      <c r="AD54" s="7"/>
    </row>
    <row r="55">
      <c r="A55" s="8">
        <v>5.06</v>
      </c>
      <c r="B55" s="9">
        <v>456.0</v>
      </c>
      <c r="C55" s="10">
        <f t="shared" si="2"/>
        <v>2.455596034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4</v>
      </c>
      <c r="J55" s="10">
        <f t="shared" si="6"/>
        <v>0.9111920678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40</v>
      </c>
      <c r="R55" s="7" t="str">
        <f t="shared" si="21"/>
        <v>Ty</v>
      </c>
      <c r="S55" s="7"/>
      <c r="T55" s="7"/>
      <c r="U55" s="7"/>
      <c r="V55" s="14">
        <v>2.0</v>
      </c>
      <c r="W55" s="13" t="s">
        <v>27</v>
      </c>
      <c r="X55" s="13" t="s">
        <v>31</v>
      </c>
      <c r="Y55" s="7" t="str">
        <f t="shared" si="17"/>
        <v>2|Jason</v>
      </c>
      <c r="Z55" s="7"/>
      <c r="AA55" s="7"/>
      <c r="AB55" s="7"/>
      <c r="AC55" s="7"/>
      <c r="AD55" s="7"/>
    </row>
    <row r="56">
      <c r="A56" s="8">
        <v>5.07</v>
      </c>
      <c r="B56" s="9">
        <v>347.0</v>
      </c>
      <c r="C56" s="10">
        <f t="shared" si="2"/>
        <v>2.427359485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0.8547189693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35</v>
      </c>
      <c r="R56" s="7" t="str">
        <f t="shared" si="21"/>
        <v>Jason</v>
      </c>
      <c r="S56" s="7"/>
      <c r="T56" s="7"/>
      <c r="U56" s="7"/>
      <c r="V56" s="14">
        <v>2.0</v>
      </c>
      <c r="W56" s="13" t="s">
        <v>34</v>
      </c>
      <c r="X56" s="13" t="s">
        <v>31</v>
      </c>
      <c r="Y56" s="7" t="str">
        <f t="shared" si="17"/>
        <v>2|Eric</v>
      </c>
      <c r="Z56" s="7"/>
      <c r="AA56" s="7"/>
      <c r="AB56" s="7"/>
      <c r="AC56" s="7"/>
      <c r="AD56" s="7"/>
    </row>
    <row r="57">
      <c r="A57" s="8">
        <v>5.08</v>
      </c>
      <c r="B57" s="9">
        <v>147.0</v>
      </c>
      <c r="C57" s="10">
        <f t="shared" si="2"/>
        <v>2.386761222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0.7735224443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27</v>
      </c>
      <c r="R57" s="7" t="str">
        <f t="shared" si="21"/>
        <v>Joel</v>
      </c>
      <c r="S57" s="7"/>
      <c r="T57" s="7"/>
      <c r="U57" s="7"/>
      <c r="V57" s="14">
        <v>2.0</v>
      </c>
      <c r="W57" s="13" t="s">
        <v>25</v>
      </c>
      <c r="X57" s="13" t="s">
        <v>31</v>
      </c>
      <c r="Y57" s="7" t="str">
        <f t="shared" si="17"/>
        <v>2|Ed</v>
      </c>
      <c r="Z57" s="7"/>
      <c r="AA57" s="7"/>
      <c r="AB57" s="7"/>
      <c r="AC57" s="7"/>
      <c r="AD57" s="7"/>
    </row>
    <row r="58">
      <c r="A58" s="8">
        <v>5.09</v>
      </c>
      <c r="B58" s="9">
        <v>146.0</v>
      </c>
      <c r="C58" s="10">
        <f t="shared" si="2"/>
        <v>2.384593582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0.7691871637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27</v>
      </c>
      <c r="R58" s="7" t="str">
        <f t="shared" si="21"/>
        <v>Jason</v>
      </c>
      <c r="S58" s="7"/>
      <c r="T58" s="7"/>
      <c r="U58" s="7"/>
      <c r="V58" s="12">
        <v>4.0</v>
      </c>
      <c r="W58" s="12" t="s">
        <v>29</v>
      </c>
      <c r="X58" s="13" t="s">
        <v>31</v>
      </c>
      <c r="Y58" s="7" t="str">
        <f t="shared" si="17"/>
        <v>4|Joey</v>
      </c>
      <c r="Z58" s="7"/>
      <c r="AA58" s="7"/>
      <c r="AB58" s="7"/>
      <c r="AC58" s="7"/>
      <c r="AD58" s="7"/>
    </row>
    <row r="59">
      <c r="A59" s="8">
        <v>5.1</v>
      </c>
      <c r="B59" s="9">
        <v>1.0</v>
      </c>
      <c r="C59" s="10">
        <f t="shared" si="2"/>
        <v>2.360838683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0.7216773657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23.5</v>
      </c>
      <c r="R59" s="7" t="str">
        <f t="shared" si="21"/>
        <v>Collin</v>
      </c>
      <c r="S59" s="7"/>
      <c r="T59" s="7"/>
      <c r="U59" s="7"/>
      <c r="V59" s="12">
        <v>5.0</v>
      </c>
      <c r="W59" s="12" t="s">
        <v>29</v>
      </c>
      <c r="X59" s="13" t="s">
        <v>31</v>
      </c>
      <c r="Y59" s="7" t="str">
        <f t="shared" si="17"/>
        <v>5|Joey</v>
      </c>
      <c r="Z59" s="7"/>
      <c r="AA59" s="7"/>
      <c r="AB59" s="7"/>
      <c r="AC59" s="7"/>
      <c r="AD59" s="7"/>
    </row>
    <row r="60">
      <c r="A60" s="8">
        <v>5.11</v>
      </c>
      <c r="B60" s="9">
        <v>1.0</v>
      </c>
      <c r="C60" s="10">
        <f t="shared" si="2"/>
        <v>2.360827065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0.7216541297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21.5</v>
      </c>
      <c r="R60" s="7" t="str">
        <f t="shared" si="21"/>
        <v>Ed</v>
      </c>
      <c r="S60" s="7"/>
      <c r="T60" s="7"/>
      <c r="U60" s="7"/>
      <c r="V60" s="12">
        <v>1.0</v>
      </c>
      <c r="W60" s="12" t="s">
        <v>35</v>
      </c>
      <c r="X60" s="13" t="s">
        <v>30</v>
      </c>
      <c r="Y60" s="7" t="str">
        <f t="shared" si="17"/>
        <v>1|Roy</v>
      </c>
      <c r="Z60" s="7"/>
      <c r="AA60" s="7"/>
      <c r="AB60" s="7"/>
      <c r="AC60" s="7"/>
      <c r="AD60" s="7"/>
    </row>
    <row r="61">
      <c r="A61" s="8">
        <v>5.12</v>
      </c>
      <c r="B61" s="9">
        <v>1.0</v>
      </c>
      <c r="C61" s="10">
        <f t="shared" si="2"/>
        <v>2.360816339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0.7216326789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19</v>
      </c>
      <c r="R61" s="7" t="str">
        <f t="shared" si="21"/>
        <v>Jason</v>
      </c>
      <c r="S61" s="7"/>
      <c r="T61" s="7"/>
      <c r="U61" s="7"/>
      <c r="V61" s="14">
        <v>1.0</v>
      </c>
      <c r="W61" s="13" t="s">
        <v>32</v>
      </c>
      <c r="X61" s="13" t="s">
        <v>30</v>
      </c>
      <c r="Y61" s="7" t="str">
        <f t="shared" si="17"/>
        <v>1|Ty</v>
      </c>
      <c r="Z61" s="7"/>
      <c r="AA61" s="7"/>
      <c r="AB61" s="7"/>
      <c r="AC61" s="7"/>
      <c r="AD61" s="7"/>
    </row>
    <row r="62">
      <c r="A62" s="8">
        <v>6.01</v>
      </c>
      <c r="B62" s="9">
        <v>1.0</v>
      </c>
      <c r="C62" s="10">
        <f t="shared" si="2"/>
        <v>1.000118911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0.0002378213096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17.5</v>
      </c>
      <c r="R62" s="7" t="str">
        <f t="shared" si="21"/>
        <v>Collin</v>
      </c>
      <c r="S62" s="7"/>
      <c r="T62" s="7" t="s">
        <v>38</v>
      </c>
      <c r="U62" s="7" t="s">
        <v>39</v>
      </c>
      <c r="V62" s="13">
        <v>3.0</v>
      </c>
      <c r="W62" s="13" t="s">
        <v>34</v>
      </c>
      <c r="X62" s="13" t="s">
        <v>35</v>
      </c>
      <c r="Y62" s="7" t="str">
        <f t="shared" si="17"/>
        <v>3|Eric</v>
      </c>
      <c r="Z62" s="7"/>
      <c r="AA62" s="7"/>
      <c r="AB62" s="7"/>
      <c r="AC62" s="7"/>
      <c r="AD62" s="7"/>
    </row>
    <row r="63">
      <c r="A63" s="8">
        <v>6.02</v>
      </c>
      <c r="B63" s="9">
        <v>1.0</v>
      </c>
      <c r="C63" s="10">
        <f t="shared" si="2"/>
        <v>1.00010977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0.0002195404458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16</v>
      </c>
      <c r="R63" s="7" t="str">
        <f t="shared" si="21"/>
        <v>Jason</v>
      </c>
      <c r="S63" s="7"/>
      <c r="T63" s="5" t="s">
        <v>27</v>
      </c>
      <c r="U63" s="10">
        <f t="shared" ref="U63:U74" si="22">SUMIF($R$45:$R$116, T63, $Q$45:$Q$116)</f>
        <v>374</v>
      </c>
      <c r="V63" s="13">
        <v>3.0</v>
      </c>
      <c r="W63" s="13" t="s">
        <v>33</v>
      </c>
      <c r="X63" s="13" t="s">
        <v>35</v>
      </c>
      <c r="Y63" s="7" t="str">
        <f t="shared" si="17"/>
        <v>3|Kich</v>
      </c>
      <c r="Z63" s="7"/>
      <c r="AA63" s="7"/>
      <c r="AB63" s="7"/>
      <c r="AC63" s="7"/>
      <c r="AD63" s="7"/>
    </row>
    <row r="64">
      <c r="A64" s="8">
        <v>6.03</v>
      </c>
      <c r="B64" s="9">
        <v>1.0</v>
      </c>
      <c r="C64" s="10">
        <f t="shared" si="2"/>
        <v>1.000101332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0.0002026644095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14.5</v>
      </c>
      <c r="R64" s="7" t="str">
        <f t="shared" si="21"/>
        <v>Jason</v>
      </c>
      <c r="S64" s="7"/>
      <c r="T64" s="7" t="s">
        <v>36</v>
      </c>
      <c r="U64" s="10">
        <f t="shared" si="22"/>
        <v>165</v>
      </c>
      <c r="V64" s="12">
        <v>4.0</v>
      </c>
      <c r="W64" s="12" t="s">
        <v>27</v>
      </c>
      <c r="X64" s="13" t="s">
        <v>29</v>
      </c>
      <c r="Y64" s="7" t="str">
        <f t="shared" si="17"/>
        <v>4|Jason</v>
      </c>
      <c r="Z64" s="7"/>
      <c r="AA64" s="7"/>
      <c r="AB64" s="7"/>
      <c r="AC64" s="7"/>
      <c r="AD64" s="7"/>
    </row>
    <row r="65">
      <c r="A65" s="8">
        <v>6.04</v>
      </c>
      <c r="B65" s="9">
        <v>1.0</v>
      </c>
      <c r="C65" s="10">
        <f t="shared" si="2"/>
        <v>1.000093543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0.0001870853144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13</v>
      </c>
      <c r="R65" s="7" t="str">
        <f t="shared" si="21"/>
        <v>MaKayla</v>
      </c>
      <c r="S65" s="7"/>
      <c r="T65" s="7" t="s">
        <v>30</v>
      </c>
      <c r="U65" s="10">
        <f t="shared" si="22"/>
        <v>159.5</v>
      </c>
      <c r="V65" s="13">
        <v>6.0</v>
      </c>
      <c r="W65" s="13" t="s">
        <v>34</v>
      </c>
      <c r="X65" s="13" t="s">
        <v>29</v>
      </c>
      <c r="Y65" s="7" t="str">
        <f t="shared" si="17"/>
        <v>6|Eric</v>
      </c>
      <c r="Z65" s="7"/>
      <c r="AA65" s="7"/>
      <c r="AB65" s="7"/>
      <c r="AC65" s="7"/>
      <c r="AD65" s="7"/>
    </row>
    <row r="66">
      <c r="A66" s="8">
        <v>6.05</v>
      </c>
      <c r="B66" s="9">
        <v>1.0</v>
      </c>
      <c r="C66" s="10">
        <f t="shared" si="2"/>
        <v>1.000086352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0.0001727035465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12</v>
      </c>
      <c r="R66" s="7" t="str">
        <f t="shared" si="21"/>
        <v>Jason</v>
      </c>
      <c r="S66" s="7"/>
      <c r="T66" s="7" t="s">
        <v>25</v>
      </c>
      <c r="U66" s="10">
        <f t="shared" si="22"/>
        <v>148.5</v>
      </c>
      <c r="V66" s="14">
        <v>6.0</v>
      </c>
      <c r="W66" s="13" t="s">
        <v>31</v>
      </c>
      <c r="X66" s="13" t="s">
        <v>33</v>
      </c>
      <c r="Y66" s="7" t="str">
        <f t="shared" si="17"/>
        <v>6|Collin</v>
      </c>
      <c r="Z66" s="7"/>
      <c r="AA66" s="7"/>
      <c r="AB66" s="7"/>
      <c r="AC66" s="7"/>
      <c r="AD66" s="7"/>
    </row>
    <row r="67">
      <c r="A67" s="8">
        <v>6.06</v>
      </c>
      <c r="B67" s="9">
        <v>1.0</v>
      </c>
      <c r="C67" s="10">
        <f t="shared" si="2"/>
        <v>1.000079714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0.0001594271327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11</v>
      </c>
      <c r="R67" s="7" t="str">
        <f t="shared" si="21"/>
        <v>Ty</v>
      </c>
      <c r="S67" s="7"/>
      <c r="T67" s="7" t="s">
        <v>31</v>
      </c>
      <c r="U67" s="10">
        <f t="shared" si="22"/>
        <v>138.5</v>
      </c>
      <c r="V67" s="14">
        <v>3.0</v>
      </c>
      <c r="W67" s="13" t="s">
        <v>30</v>
      </c>
      <c r="X67" s="13" t="s">
        <v>26</v>
      </c>
      <c r="Y67" s="7" t="str">
        <f t="shared" si="17"/>
        <v>3|MaKayla</v>
      </c>
      <c r="Z67" s="7"/>
      <c r="AA67" s="7"/>
      <c r="AB67" s="7"/>
      <c r="AC67" s="7"/>
      <c r="AD67" s="7"/>
    </row>
    <row r="68">
      <c r="A68" s="8">
        <v>6.07</v>
      </c>
      <c r="B68" s="9">
        <v>1.0</v>
      </c>
      <c r="C68" s="10">
        <f t="shared" si="2"/>
        <v>1.000073586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0.0001471711561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33</v>
      </c>
      <c r="U68" s="10">
        <f t="shared" si="22"/>
        <v>68.5</v>
      </c>
      <c r="V68" s="14"/>
      <c r="W68" s="13"/>
      <c r="X68" s="13"/>
      <c r="Y68" s="7" t="str">
        <f t="shared" si="17"/>
        <v>0|</v>
      </c>
      <c r="Z68" s="7"/>
      <c r="AA68" s="7"/>
      <c r="AB68" s="7"/>
      <c r="AC68" s="7"/>
      <c r="AD68" s="7"/>
    </row>
    <row r="69">
      <c r="A69" s="8">
        <v>6.08</v>
      </c>
      <c r="B69" s="13">
        <v>1.0</v>
      </c>
      <c r="C69" s="10">
        <f t="shared" si="2"/>
        <v>1.000067929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0.0001358572166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32</v>
      </c>
      <c r="U69" s="10">
        <f t="shared" si="22"/>
        <v>62.5</v>
      </c>
      <c r="V69" s="12"/>
      <c r="W69" s="12"/>
      <c r="X69" s="13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1.0</v>
      </c>
      <c r="C70" s="10">
        <f t="shared" si="2"/>
        <v>1.000062706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0.0001254129316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29</v>
      </c>
      <c r="U70" s="10">
        <f t="shared" si="22"/>
        <v>52.5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1.0</v>
      </c>
      <c r="C71" s="10">
        <f t="shared" si="2"/>
        <v>1.000057886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0.0001157714757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8</v>
      </c>
      <c r="R71" s="7" t="str">
        <f t="shared" si="21"/>
        <v>Jason</v>
      </c>
      <c r="S71" s="7"/>
      <c r="T71" s="7" t="s">
        <v>26</v>
      </c>
      <c r="U71" s="10">
        <f t="shared" si="22"/>
        <v>18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13">
        <v>1.0</v>
      </c>
      <c r="C72" s="10">
        <f t="shared" si="2"/>
        <v>1.000053436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0.0001068711545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6.5</v>
      </c>
      <c r="R72" s="7" t="str">
        <f t="shared" si="21"/>
        <v>Jason</v>
      </c>
      <c r="S72" s="7"/>
      <c r="T72" s="7" t="s">
        <v>35</v>
      </c>
      <c r="U72" s="10">
        <f t="shared" si="22"/>
        <v>13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1.0</v>
      </c>
      <c r="C73" s="10">
        <f t="shared" si="2"/>
        <v>1.000049328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0.00009865501143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</v>
      </c>
      <c r="R73" s="7" t="str">
        <f t="shared" si="21"/>
        <v>Collin</v>
      </c>
      <c r="S73" s="7"/>
      <c r="T73" s="7" t="s">
        <v>34</v>
      </c>
      <c r="U73" s="10">
        <f t="shared" si="22"/>
        <v>0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5.5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Roy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4.5</v>
      </c>
      <c r="R76" s="7" t="str">
        <f t="shared" si="21"/>
        <v>Ty</v>
      </c>
      <c r="S76" s="7"/>
      <c r="T76" s="7"/>
      <c r="U76" s="3"/>
      <c r="V76" s="3"/>
      <c r="W76" s="3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</v>
      </c>
      <c r="R77" s="7" t="str">
        <f t="shared" si="21"/>
        <v>Blaine</v>
      </c>
      <c r="S77" s="7"/>
      <c r="T77" s="7"/>
      <c r="U77" s="7"/>
      <c r="V77" s="3"/>
      <c r="W77" s="3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3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3.5</v>
      </c>
      <c r="R79" s="7" t="str">
        <f t="shared" si="21"/>
        <v>Jason</v>
      </c>
      <c r="S79" s="7"/>
      <c r="T79" s="7"/>
      <c r="U79" s="10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13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</v>
      </c>
      <c r="R80" s="7" t="str">
        <f t="shared" si="21"/>
        <v>Ed</v>
      </c>
      <c r="S80" s="7"/>
      <c r="T80" s="7"/>
      <c r="U80" s="10"/>
      <c r="V80" s="7"/>
      <c r="W80" s="7"/>
      <c r="X80" s="7"/>
      <c r="Y80" s="7" t="str">
        <f t="shared" si="17"/>
        <v>0|</v>
      </c>
      <c r="Z80" s="7"/>
      <c r="AA80" s="7"/>
      <c r="AB80" s="7"/>
      <c r="AC80" s="7"/>
      <c r="AD80" s="7"/>
    </row>
    <row r="81">
      <c r="A81" s="3"/>
      <c r="B81" s="13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2.75</v>
      </c>
      <c r="R81" s="7" t="str">
        <f t="shared" si="21"/>
        <v>Joel</v>
      </c>
      <c r="S81" s="7"/>
      <c r="T81" s="7"/>
      <c r="U81" s="10"/>
      <c r="V81" s="7"/>
      <c r="W81" s="7"/>
      <c r="X81" s="7"/>
      <c r="Y81" s="7" t="str">
        <f t="shared" si="17"/>
        <v>0|</v>
      </c>
      <c r="Z81" s="7"/>
      <c r="AA81" s="7"/>
      <c r="AB81" s="7"/>
      <c r="AC81" s="7"/>
      <c r="AD81" s="7"/>
    </row>
    <row r="82">
      <c r="A82" s="3"/>
      <c r="B82" s="13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2.75</v>
      </c>
      <c r="R82" s="7" t="str">
        <f t="shared" si="21"/>
        <v>Blaine</v>
      </c>
      <c r="S82" s="7"/>
      <c r="T82" s="7"/>
      <c r="U82" s="10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13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10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13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2.5</v>
      </c>
      <c r="R84" s="7" t="str">
        <f t="shared" si="21"/>
        <v>Jason</v>
      </c>
      <c r="S84" s="7"/>
      <c r="T84" s="7"/>
      <c r="U84" s="10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</v>
      </c>
      <c r="R85" s="7" t="str">
        <f t="shared" si="21"/>
        <v>Jason</v>
      </c>
      <c r="S85" s="7"/>
      <c r="T85" s="7"/>
      <c r="U85" s="10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13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10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13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10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13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10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13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1.5</v>
      </c>
      <c r="R89" s="7" t="str">
        <f t="shared" si="21"/>
        <v>Jason</v>
      </c>
      <c r="S89" s="7"/>
      <c r="T89" s="7"/>
      <c r="U89" s="10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13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10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13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13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13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13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13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13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13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13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13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13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13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13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Joey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139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3" t="s">
        <v>40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 t="s">
        <v>41</v>
      </c>
      <c r="X139" s="13" t="s">
        <v>42</v>
      </c>
      <c r="Y139" s="13" t="s">
        <v>43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1.0</v>
      </c>
      <c r="X140" s="13" t="s">
        <v>44</v>
      </c>
      <c r="Y140" s="13" t="s">
        <v>45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3.0</v>
      </c>
      <c r="X141" s="13" t="s">
        <v>46</v>
      </c>
      <c r="Y141" s="13" t="s">
        <v>47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4.0</v>
      </c>
      <c r="X142" s="13" t="s">
        <v>48</v>
      </c>
      <c r="Y142" s="13" t="s">
        <v>49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5.0</v>
      </c>
      <c r="X143" s="13" t="s">
        <v>50</v>
      </c>
      <c r="Y143" s="13" t="s">
        <v>47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6.0</v>
      </c>
      <c r="X144" s="13" t="s">
        <v>51</v>
      </c>
      <c r="Y144" s="13" t="s">
        <v>47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7.0</v>
      </c>
      <c r="X145" s="13" t="s">
        <v>52</v>
      </c>
      <c r="Y145" s="13" t="s">
        <v>53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8.0</v>
      </c>
      <c r="X146" s="13" t="s">
        <v>54</v>
      </c>
      <c r="Y146" s="13" t="s">
        <v>55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9.0</v>
      </c>
      <c r="X147" s="13" t="s">
        <v>56</v>
      </c>
      <c r="Y147" s="13" t="s">
        <v>47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10.0</v>
      </c>
      <c r="X148" s="13" t="s">
        <v>57</v>
      </c>
      <c r="Y148" s="13" t="s">
        <v>58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11.0</v>
      </c>
      <c r="X149" s="13" t="s">
        <v>59</v>
      </c>
      <c r="Y149" s="13" t="s">
        <v>53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12.0</v>
      </c>
      <c r="X150" s="13" t="s">
        <v>60</v>
      </c>
      <c r="Y150" s="13" t="s">
        <v>61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13.0</v>
      </c>
      <c r="X151" s="13" t="s">
        <v>62</v>
      </c>
      <c r="Y151" s="13" t="s">
        <v>61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14.0</v>
      </c>
      <c r="X152" s="13" t="s">
        <v>63</v>
      </c>
      <c r="Y152" s="13" t="s">
        <v>53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15.0</v>
      </c>
      <c r="X153" s="13" t="s">
        <v>64</v>
      </c>
      <c r="Y153" s="13" t="s">
        <v>47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16.0</v>
      </c>
      <c r="X154" s="13" t="s">
        <v>65</v>
      </c>
      <c r="Y154" s="13" t="s">
        <v>53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17.0</v>
      </c>
      <c r="X155" s="13" t="s">
        <v>66</v>
      </c>
      <c r="Y155" s="13" t="s">
        <v>45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18.0</v>
      </c>
      <c r="X156" s="13" t="s">
        <v>67</v>
      </c>
      <c r="Y156" s="13" t="s">
        <v>58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19.0</v>
      </c>
      <c r="X157" s="13" t="s">
        <v>68</v>
      </c>
      <c r="Y157" s="13" t="s">
        <v>58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20.0</v>
      </c>
      <c r="X158" s="13" t="s">
        <v>69</v>
      </c>
      <c r="Y158" s="13" t="s">
        <v>45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21.0</v>
      </c>
      <c r="X159" s="13" t="s">
        <v>70</v>
      </c>
      <c r="Y159" s="13" t="s">
        <v>47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22.0</v>
      </c>
      <c r="X160" s="13" t="s">
        <v>71</v>
      </c>
      <c r="Y160" s="13" t="s">
        <v>55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23.0</v>
      </c>
      <c r="X161" s="13" t="s">
        <v>72</v>
      </c>
      <c r="Y161" s="13" t="s">
        <v>49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24.0</v>
      </c>
      <c r="X162" s="13" t="s">
        <v>73</v>
      </c>
      <c r="Y162" s="13" t="s">
        <v>47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25.0</v>
      </c>
      <c r="X163" s="13" t="s">
        <v>74</v>
      </c>
      <c r="Y163" s="13" t="s">
        <v>45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26.0</v>
      </c>
      <c r="X164" s="13" t="s">
        <v>75</v>
      </c>
      <c r="Y164" s="13" t="s">
        <v>45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27.0</v>
      </c>
      <c r="X165" s="13" t="s">
        <v>76</v>
      </c>
      <c r="Y165" s="13" t="s">
        <v>49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28.0</v>
      </c>
      <c r="X166" s="13" t="s">
        <v>77</v>
      </c>
      <c r="Y166" s="13" t="s">
        <v>47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29.0</v>
      </c>
      <c r="X167" s="13" t="s">
        <v>78</v>
      </c>
      <c r="Y167" s="13" t="s">
        <v>53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30.0</v>
      </c>
      <c r="X168" s="13" t="s">
        <v>79</v>
      </c>
      <c r="Y168" s="13" t="s">
        <v>47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31.0</v>
      </c>
      <c r="X169" s="13" t="s">
        <v>80</v>
      </c>
      <c r="Y169" s="13" t="s">
        <v>47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32.0</v>
      </c>
      <c r="X170" s="13" t="s">
        <v>81</v>
      </c>
      <c r="Y170" s="13" t="s">
        <v>45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33.0</v>
      </c>
      <c r="X171" s="13" t="s">
        <v>82</v>
      </c>
      <c r="Y171" s="13" t="s">
        <v>47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34.0</v>
      </c>
      <c r="X172" s="13" t="s">
        <v>83</v>
      </c>
      <c r="Y172" s="13" t="s">
        <v>61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35.0</v>
      </c>
      <c r="X173" s="13" t="s">
        <v>84</v>
      </c>
      <c r="Y173" s="13" t="s">
        <v>53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36.0</v>
      </c>
      <c r="X174" s="13" t="s">
        <v>85</v>
      </c>
      <c r="Y174" s="13" t="s">
        <v>55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37.0</v>
      </c>
      <c r="X175" s="13" t="s">
        <v>86</v>
      </c>
      <c r="Y175" s="13" t="s">
        <v>53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38.0</v>
      </c>
      <c r="X176" s="13" t="s">
        <v>87</v>
      </c>
      <c r="Y176" s="13" t="s">
        <v>47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39.0</v>
      </c>
      <c r="X177" s="13" t="s">
        <v>88</v>
      </c>
      <c r="Y177" s="13" t="s">
        <v>55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40.0</v>
      </c>
      <c r="X178" s="13" t="s">
        <v>89</v>
      </c>
      <c r="Y178" s="13" t="s">
        <v>47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41.0</v>
      </c>
      <c r="X179" s="13" t="s">
        <v>90</v>
      </c>
      <c r="Y179" s="13" t="s">
        <v>47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42.0</v>
      </c>
      <c r="X180" s="13" t="s">
        <v>91</v>
      </c>
      <c r="Y180" s="13" t="s">
        <v>45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43.0</v>
      </c>
      <c r="X181" s="13" t="s">
        <v>92</v>
      </c>
      <c r="Y181" s="13" t="s">
        <v>55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44.0</v>
      </c>
      <c r="X182" s="13" t="s">
        <v>93</v>
      </c>
      <c r="Y182" s="13" t="s">
        <v>49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45.0</v>
      </c>
      <c r="X183" s="13" t="s">
        <v>94</v>
      </c>
      <c r="Y183" s="13" t="s">
        <v>45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46.0</v>
      </c>
      <c r="X184" s="13" t="s">
        <v>95</v>
      </c>
      <c r="Y184" s="13" t="s">
        <v>47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47.0</v>
      </c>
      <c r="X185" s="13" t="s">
        <v>96</v>
      </c>
      <c r="Y185" s="13" t="s">
        <v>47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48.0</v>
      </c>
      <c r="X186" s="13" t="s">
        <v>97</v>
      </c>
      <c r="Y186" s="13" t="s">
        <v>47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49.0</v>
      </c>
      <c r="X187" s="13" t="s">
        <v>98</v>
      </c>
      <c r="Y187" s="13" t="s">
        <v>45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50.0</v>
      </c>
      <c r="X188" s="13" t="s">
        <v>99</v>
      </c>
      <c r="Y188" s="13" t="s">
        <v>49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51.0</v>
      </c>
      <c r="X189" s="13" t="s">
        <v>100</v>
      </c>
      <c r="Y189" s="13" t="s">
        <v>45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52.0</v>
      </c>
      <c r="X190" s="13" t="s">
        <v>101</v>
      </c>
      <c r="Y190" s="13" t="s">
        <v>45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53.0</v>
      </c>
      <c r="X191" s="13" t="s">
        <v>102</v>
      </c>
      <c r="Y191" s="13" t="s">
        <v>55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54.0</v>
      </c>
      <c r="X192" s="13" t="s">
        <v>103</v>
      </c>
      <c r="Y192" s="13" t="s">
        <v>47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55.0</v>
      </c>
      <c r="X193" s="13" t="s">
        <v>104</v>
      </c>
      <c r="Y193" s="13" t="s">
        <v>47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56.0</v>
      </c>
      <c r="X194" s="13" t="s">
        <v>105</v>
      </c>
      <c r="Y194" s="13" t="s">
        <v>45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57.0</v>
      </c>
      <c r="X195" s="13" t="s">
        <v>106</v>
      </c>
      <c r="Y195" s="13" t="s">
        <v>47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58.0</v>
      </c>
      <c r="X196" s="13" t="s">
        <v>107</v>
      </c>
      <c r="Y196" s="13" t="s">
        <v>47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59.0</v>
      </c>
      <c r="X197" s="13" t="s">
        <v>108</v>
      </c>
      <c r="Y197" s="13" t="s">
        <v>47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60.0</v>
      </c>
      <c r="X198" s="13" t="s">
        <v>109</v>
      </c>
      <c r="Y198" s="13" t="s">
        <v>55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61.0</v>
      </c>
      <c r="X199" s="13" t="s">
        <v>110</v>
      </c>
      <c r="Y199" s="13" t="s">
        <v>45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62.0</v>
      </c>
      <c r="X200" s="13" t="s">
        <v>111</v>
      </c>
      <c r="Y200" s="13" t="s">
        <v>55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63.0</v>
      </c>
      <c r="X201" s="13" t="s">
        <v>112</v>
      </c>
      <c r="Y201" s="13" t="s">
        <v>45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64.0</v>
      </c>
      <c r="X202" s="13" t="s">
        <v>113</v>
      </c>
      <c r="Y202" s="13" t="s">
        <v>49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65.0</v>
      </c>
      <c r="X203" s="13" t="s">
        <v>114</v>
      </c>
      <c r="Y203" s="13" t="s">
        <v>49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66.0</v>
      </c>
      <c r="X204" s="13" t="s">
        <v>115</v>
      </c>
      <c r="Y204" s="13" t="s">
        <v>55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67.0</v>
      </c>
      <c r="X205" s="13" t="s">
        <v>116</v>
      </c>
      <c r="Y205" s="13" t="s">
        <v>47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68.0</v>
      </c>
      <c r="X206" s="13" t="s">
        <v>117</v>
      </c>
      <c r="Y206" s="13" t="s">
        <v>45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69.0</v>
      </c>
      <c r="X207" s="13" t="s">
        <v>118</v>
      </c>
      <c r="Y207" s="13" t="s">
        <v>55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70.0</v>
      </c>
      <c r="X208" s="13" t="s">
        <v>119</v>
      </c>
      <c r="Y208" s="13" t="s">
        <v>47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71.0</v>
      </c>
      <c r="X209" s="13" t="s">
        <v>120</v>
      </c>
      <c r="Y209" s="13" t="s">
        <v>47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72.0</v>
      </c>
      <c r="X210" s="13" t="s">
        <v>121</v>
      </c>
      <c r="Y210" s="13" t="s">
        <v>47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73.0</v>
      </c>
      <c r="X211" s="13" t="s">
        <v>122</v>
      </c>
      <c r="Y211" s="13" t="s">
        <v>47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74.0</v>
      </c>
      <c r="X212" s="13" t="s">
        <v>123</v>
      </c>
      <c r="Y212" s="13" t="s">
        <v>49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75.0</v>
      </c>
      <c r="X213" s="13" t="s">
        <v>124</v>
      </c>
      <c r="Y213" s="13" t="s">
        <v>47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76.0</v>
      </c>
      <c r="X214" s="13" t="s">
        <v>125</v>
      </c>
      <c r="Y214" s="13" t="s">
        <v>49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78.0</v>
      </c>
      <c r="X215" s="13" t="s">
        <v>126</v>
      </c>
      <c r="Y215" s="13" t="s">
        <v>47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13">
        <v>79.0</v>
      </c>
      <c r="X216" s="13" t="s">
        <v>127</v>
      </c>
      <c r="Y216" s="13" t="s">
        <v>45</v>
      </c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13">
        <v>80.0</v>
      </c>
      <c r="X217" s="13" t="s">
        <v>128</v>
      </c>
      <c r="Y217" s="13" t="s">
        <v>45</v>
      </c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  <c r="V1001" s="7"/>
      <c r="W1001" s="7"/>
      <c r="X1001" s="7"/>
      <c r="Y1001" s="7"/>
    </row>
    <row r="1002">
      <c r="A1002" s="17"/>
      <c r="C1002" s="17"/>
      <c r="D1002" s="17"/>
      <c r="E1002" s="17"/>
      <c r="L1002" s="18"/>
      <c r="V1002" s="7"/>
      <c r="W1002" s="7"/>
      <c r="X1002" s="7"/>
      <c r="Y1002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41</v>
      </c>
      <c r="B1" s="9" t="s">
        <v>129</v>
      </c>
      <c r="C1" s="9" t="s">
        <v>130</v>
      </c>
      <c r="D1" s="9" t="s">
        <v>131</v>
      </c>
      <c r="E1" s="9" t="s">
        <v>132</v>
      </c>
      <c r="F1" s="19" t="s">
        <v>133</v>
      </c>
      <c r="G1" s="19" t="s">
        <v>134</v>
      </c>
      <c r="H1" s="19" t="s">
        <v>135</v>
      </c>
      <c r="I1" s="9" t="s">
        <v>136</v>
      </c>
      <c r="K1" s="9" t="s">
        <v>137</v>
      </c>
    </row>
    <row r="2">
      <c r="A2" s="9">
        <v>1.0</v>
      </c>
      <c r="B2" s="13" t="s">
        <v>44</v>
      </c>
      <c r="C2" s="17">
        <v>134.5</v>
      </c>
      <c r="D2" s="9"/>
      <c r="E2" s="9" t="b">
        <v>0</v>
      </c>
      <c r="F2" s="17">
        <f t="shared" ref="F2:F73" si="1">IF($D2&gt;0,"",$C2*$L$14)
</f>
        <v>134.5</v>
      </c>
      <c r="G2" s="17">
        <f t="shared" ref="G2:G73" si="2">IF($D2&gt;0,"",MIN($L$8, $C2*$L$14*(1+($L$11-1)*$L$16)))</f>
        <v>182.6855206</v>
      </c>
      <c r="H2" s="20">
        <f t="shared" ref="H2:H73" si="3">IF($D2&lt;&gt;"","",
   IFERROR(
     MIN($L$8, $C2*$L$14*$L$27),
     ""
   )
)
</f>
        <v>107.6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138</v>
      </c>
      <c r="L2" s="9">
        <v>1200.0</v>
      </c>
    </row>
    <row r="3">
      <c r="A3" s="9">
        <v>2.0</v>
      </c>
      <c r="B3" s="13" t="s">
        <v>48</v>
      </c>
      <c r="C3" s="17">
        <v>101.5</v>
      </c>
      <c r="D3" s="9"/>
      <c r="E3" s="9" t="b">
        <v>0</v>
      </c>
      <c r="F3" s="17">
        <f t="shared" si="1"/>
        <v>101.5</v>
      </c>
      <c r="G3" s="17">
        <f t="shared" si="2"/>
        <v>137.8630508</v>
      </c>
      <c r="H3" s="20">
        <f t="shared" si="3"/>
        <v>81.2</v>
      </c>
      <c r="I3" s="21" t="str">
        <f t="shared" ref="I3:I73" si="4">IF($D3="","",
   IF(ABS($D3-$C3*$L$14)&lt;=2,"Fair",
      IF($D3&lt;$C3*$L$14,"Value","Overpay")
   )
)
</f>
        <v/>
      </c>
      <c r="K3" s="9" t="s">
        <v>139</v>
      </c>
      <c r="L3" s="9">
        <v>12.0</v>
      </c>
    </row>
    <row r="4">
      <c r="A4" s="9">
        <v>3.0</v>
      </c>
      <c r="B4" s="13" t="s">
        <v>50</v>
      </c>
      <c r="C4" s="17">
        <v>90.0</v>
      </c>
      <c r="D4" s="9"/>
      <c r="E4" s="9" t="b">
        <v>0</v>
      </c>
      <c r="F4" s="17">
        <f t="shared" si="1"/>
        <v>90</v>
      </c>
      <c r="G4" s="17">
        <f t="shared" si="2"/>
        <v>122.2430993</v>
      </c>
      <c r="H4" s="20">
        <f t="shared" si="3"/>
        <v>72</v>
      </c>
      <c r="I4" s="21" t="str">
        <f t="shared" si="4"/>
        <v/>
      </c>
      <c r="K4" s="9" t="s">
        <v>140</v>
      </c>
      <c r="L4" s="19">
        <f>'Draft Data'!U63</f>
        <v>374</v>
      </c>
    </row>
    <row r="5">
      <c r="A5" s="9">
        <v>4.0</v>
      </c>
      <c r="B5" s="13" t="s">
        <v>46</v>
      </c>
      <c r="C5" s="17">
        <v>83.0</v>
      </c>
      <c r="E5" s="22" t="b">
        <v>0</v>
      </c>
      <c r="F5" s="17">
        <f t="shared" si="1"/>
        <v>83</v>
      </c>
      <c r="G5" s="17">
        <f t="shared" si="2"/>
        <v>112.7353027</v>
      </c>
      <c r="H5" s="20">
        <f t="shared" si="3"/>
        <v>66.4</v>
      </c>
      <c r="I5" s="21" t="str">
        <f t="shared" si="4"/>
        <v/>
      </c>
      <c r="K5" s="9" t="s">
        <v>141</v>
      </c>
      <c r="L5" s="22">
        <f>SUM($D$2:$D$500)
</f>
        <v>0</v>
      </c>
    </row>
    <row r="6">
      <c r="A6" s="9">
        <v>5.0</v>
      </c>
      <c r="B6" s="13" t="s">
        <v>51</v>
      </c>
      <c r="C6" s="17">
        <v>72.5</v>
      </c>
      <c r="E6" s="22" t="b">
        <v>0</v>
      </c>
      <c r="F6" s="17">
        <f t="shared" si="1"/>
        <v>72.5</v>
      </c>
      <c r="G6" s="17">
        <f t="shared" si="2"/>
        <v>98.47360775</v>
      </c>
      <c r="H6" s="20">
        <f t="shared" si="3"/>
        <v>58</v>
      </c>
      <c r="I6" s="21" t="str">
        <f t="shared" si="4"/>
        <v/>
      </c>
      <c r="K6" s="9" t="s">
        <v>142</v>
      </c>
      <c r="L6" s="22">
        <f>L2-L5
</f>
        <v>1200</v>
      </c>
    </row>
    <row r="7">
      <c r="A7" s="9">
        <v>6.0</v>
      </c>
      <c r="B7" s="13" t="s">
        <v>52</v>
      </c>
      <c r="C7" s="17">
        <v>65.5</v>
      </c>
      <c r="E7" s="22" t="b">
        <v>0</v>
      </c>
      <c r="F7" s="17">
        <f t="shared" si="1"/>
        <v>65.5</v>
      </c>
      <c r="G7" s="17">
        <f t="shared" si="2"/>
        <v>88.96581114</v>
      </c>
      <c r="H7" s="20">
        <f t="shared" si="3"/>
        <v>52.4</v>
      </c>
      <c r="I7" s="21" t="str">
        <f t="shared" si="4"/>
        <v/>
      </c>
      <c r="K7" s="9" t="s">
        <v>143</v>
      </c>
      <c r="L7" s="22">
        <f>SUMIF($E$2:$E$500,TRUE,$D$2:$D$500)</f>
        <v>0</v>
      </c>
    </row>
    <row r="8">
      <c r="A8" s="9">
        <v>7.0</v>
      </c>
      <c r="B8" s="13" t="s">
        <v>57</v>
      </c>
      <c r="C8" s="17">
        <v>60.5</v>
      </c>
      <c r="E8" s="22" t="b">
        <v>0</v>
      </c>
      <c r="F8" s="17">
        <f t="shared" si="1"/>
        <v>60.5</v>
      </c>
      <c r="G8" s="17">
        <f t="shared" si="2"/>
        <v>82.17452785</v>
      </c>
      <c r="H8" s="20">
        <f t="shared" si="3"/>
        <v>48.4</v>
      </c>
      <c r="I8" s="21" t="str">
        <f t="shared" si="4"/>
        <v/>
      </c>
      <c r="K8" s="9" t="s">
        <v>144</v>
      </c>
      <c r="L8" s="17">
        <f>L4-L7
</f>
        <v>374</v>
      </c>
    </row>
    <row r="9">
      <c r="A9" s="9">
        <v>8.0</v>
      </c>
      <c r="B9" s="13" t="s">
        <v>54</v>
      </c>
      <c r="C9" s="17">
        <v>55.0</v>
      </c>
      <c r="E9" s="22" t="b">
        <v>0</v>
      </c>
      <c r="F9" s="17">
        <f t="shared" si="1"/>
        <v>55</v>
      </c>
      <c r="G9" s="17">
        <f t="shared" si="2"/>
        <v>74.70411622</v>
      </c>
      <c r="H9" s="20">
        <f t="shared" si="3"/>
        <v>44</v>
      </c>
      <c r="I9" s="21" t="str">
        <f t="shared" si="4"/>
        <v/>
      </c>
      <c r="K9" s="9" t="s">
        <v>145</v>
      </c>
      <c r="L9" s="17">
        <f>L6-L8
</f>
        <v>826</v>
      </c>
    </row>
    <row r="10">
      <c r="A10" s="9">
        <v>9.0</v>
      </c>
      <c r="B10" s="13" t="s">
        <v>68</v>
      </c>
      <c r="C10" s="17">
        <v>50.5</v>
      </c>
      <c r="E10" s="22" t="b">
        <v>0</v>
      </c>
      <c r="F10" s="17">
        <f t="shared" si="1"/>
        <v>50.5</v>
      </c>
      <c r="G10" s="17">
        <f t="shared" si="2"/>
        <v>68.59196126</v>
      </c>
      <c r="H10" s="20">
        <f t="shared" si="3"/>
        <v>40.4</v>
      </c>
      <c r="I10" s="21" t="str">
        <f t="shared" si="4"/>
        <v/>
      </c>
      <c r="K10" s="9" t="s">
        <v>146</v>
      </c>
      <c r="L10" s="17">
        <f>IF(L3&gt;1,L9/(L3-1),0)</f>
        <v>75.09090909</v>
      </c>
    </row>
    <row r="11">
      <c r="A11" s="9">
        <v>10.0</v>
      </c>
      <c r="B11" s="13" t="s">
        <v>67</v>
      </c>
      <c r="C11" s="17">
        <v>45.0</v>
      </c>
      <c r="E11" s="22" t="b">
        <v>0</v>
      </c>
      <c r="F11" s="17">
        <f t="shared" si="1"/>
        <v>45</v>
      </c>
      <c r="G11" s="17">
        <f t="shared" si="2"/>
        <v>61.12154964</v>
      </c>
      <c r="H11" s="20">
        <f t="shared" si="3"/>
        <v>36</v>
      </c>
      <c r="I11" s="21" t="str">
        <f t="shared" si="4"/>
        <v/>
      </c>
      <c r="K11" s="9" t="s">
        <v>147</v>
      </c>
      <c r="L11" s="23">
        <f>IF(L10&gt;0,L8/L10,1)</f>
        <v>4.98062954</v>
      </c>
    </row>
    <row r="12">
      <c r="A12" s="9">
        <v>11.0</v>
      </c>
      <c r="B12" s="13" t="s">
        <v>60</v>
      </c>
      <c r="C12" s="17">
        <v>40.5</v>
      </c>
      <c r="E12" s="22" t="b">
        <v>0</v>
      </c>
      <c r="F12" s="17">
        <f t="shared" si="1"/>
        <v>40.5</v>
      </c>
      <c r="G12" s="17">
        <f t="shared" si="2"/>
        <v>55.00939467</v>
      </c>
      <c r="H12" s="20">
        <f t="shared" si="3"/>
        <v>32.4</v>
      </c>
      <c r="I12" s="21" t="str">
        <f t="shared" si="4"/>
        <v/>
      </c>
    </row>
    <row r="13">
      <c r="A13" s="9">
        <v>12.0</v>
      </c>
      <c r="B13" s="13" t="s">
        <v>59</v>
      </c>
      <c r="C13" s="17">
        <v>36.0</v>
      </c>
      <c r="E13" s="22" t="b">
        <v>0</v>
      </c>
      <c r="F13" s="17">
        <f t="shared" si="1"/>
        <v>36</v>
      </c>
      <c r="G13" s="17">
        <f t="shared" si="2"/>
        <v>48.89723971</v>
      </c>
      <c r="H13" s="20">
        <f t="shared" si="3"/>
        <v>28.8</v>
      </c>
      <c r="I13" s="21" t="str">
        <f t="shared" si="4"/>
        <v/>
      </c>
      <c r="K13" s="9" t="s">
        <v>148</v>
      </c>
      <c r="L13" s="22">
        <f>SUMIF($D$2:$D$73,"",$C$2:$C$73)</f>
        <v>1200</v>
      </c>
    </row>
    <row r="14">
      <c r="A14" s="9">
        <v>13.0</v>
      </c>
      <c r="B14" s="13" t="s">
        <v>149</v>
      </c>
      <c r="C14" s="17">
        <v>32.0</v>
      </c>
      <c r="E14" s="22" t="b">
        <v>0</v>
      </c>
      <c r="F14" s="17">
        <f t="shared" si="1"/>
        <v>32</v>
      </c>
      <c r="G14" s="17">
        <f t="shared" si="2"/>
        <v>43.46421308</v>
      </c>
      <c r="H14" s="20">
        <f t="shared" si="3"/>
        <v>25.6</v>
      </c>
      <c r="I14" s="21" t="str">
        <f t="shared" si="4"/>
        <v/>
      </c>
      <c r="K14" s="9" t="s">
        <v>150</v>
      </c>
      <c r="L14" s="23">
        <f>IF(L13&gt;0,L6/L13,1)</f>
        <v>1</v>
      </c>
    </row>
    <row r="15">
      <c r="A15" s="9">
        <v>14.0</v>
      </c>
      <c r="B15" s="13" t="s">
        <v>64</v>
      </c>
      <c r="C15" s="17">
        <v>29.0</v>
      </c>
      <c r="E15" s="22" t="b">
        <v>0</v>
      </c>
      <c r="F15" s="17">
        <f t="shared" si="1"/>
        <v>29</v>
      </c>
      <c r="G15" s="17">
        <f t="shared" si="2"/>
        <v>39.3894431</v>
      </c>
      <c r="H15" s="20">
        <f t="shared" si="3"/>
        <v>23.2</v>
      </c>
      <c r="I15" s="21" t="str">
        <f t="shared" si="4"/>
        <v/>
      </c>
    </row>
    <row r="16">
      <c r="A16" s="9">
        <v>15.0</v>
      </c>
      <c r="B16" s="13" t="s">
        <v>151</v>
      </c>
      <c r="C16" s="17">
        <v>26.0</v>
      </c>
      <c r="E16" s="22" t="b">
        <v>0</v>
      </c>
      <c r="F16" s="17">
        <f t="shared" si="1"/>
        <v>26</v>
      </c>
      <c r="G16" s="17">
        <f t="shared" si="2"/>
        <v>35.31467312</v>
      </c>
      <c r="H16" s="20">
        <f t="shared" si="3"/>
        <v>20.8</v>
      </c>
      <c r="I16" s="21" t="str">
        <f t="shared" si="4"/>
        <v/>
      </c>
      <c r="K16" s="9" t="s">
        <v>152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56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31.91903148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71</v>
      </c>
      <c r="C18" s="17">
        <v>21.0</v>
      </c>
      <c r="E18" s="22" t="b">
        <v>0</v>
      </c>
      <c r="F18" s="17">
        <f t="shared" si="1"/>
        <v>21</v>
      </c>
      <c r="G18" s="17">
        <f t="shared" si="2"/>
        <v>28.52338983</v>
      </c>
      <c r="H18" s="20">
        <f t="shared" si="3"/>
        <v>16.8</v>
      </c>
      <c r="I18" s="21" t="str">
        <f t="shared" si="4"/>
        <v/>
      </c>
      <c r="K18" s="9" t="s">
        <v>153</v>
      </c>
      <c r="L18" s="24">
        <f>L5/L2</f>
        <v>0</v>
      </c>
    </row>
    <row r="19">
      <c r="A19" s="9">
        <v>18.0</v>
      </c>
      <c r="B19" s="13" t="s">
        <v>72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25.12774818</v>
      </c>
      <c r="H19" s="20">
        <f t="shared" si="3"/>
        <v>14.8</v>
      </c>
      <c r="I19" s="21" t="str">
        <f t="shared" si="4"/>
        <v/>
      </c>
    </row>
    <row r="20">
      <c r="A20" s="9">
        <v>19.0</v>
      </c>
      <c r="B20" s="13" t="s">
        <v>69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22.41123487</v>
      </c>
      <c r="H20" s="20">
        <f t="shared" si="3"/>
        <v>13.2</v>
      </c>
      <c r="I20" s="21" t="str">
        <f t="shared" si="4"/>
        <v/>
      </c>
    </row>
    <row r="21">
      <c r="A21" s="9">
        <v>20.0</v>
      </c>
      <c r="B21" s="13" t="s">
        <v>154</v>
      </c>
      <c r="C21" s="17">
        <v>15.0</v>
      </c>
      <c r="E21" s="22" t="b">
        <v>0</v>
      </c>
      <c r="F21" s="17">
        <f t="shared" si="1"/>
        <v>15</v>
      </c>
      <c r="G21" s="17">
        <f t="shared" si="2"/>
        <v>20.37384988</v>
      </c>
      <c r="H21" s="20">
        <f t="shared" si="3"/>
        <v>12</v>
      </c>
      <c r="I21" s="21" t="str">
        <f t="shared" si="4"/>
        <v/>
      </c>
    </row>
    <row r="22">
      <c r="A22" s="9">
        <v>21.0</v>
      </c>
      <c r="B22" s="13" t="s">
        <v>66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19.01559322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155</v>
      </c>
      <c r="C23" s="17">
        <v>12.5</v>
      </c>
      <c r="E23" s="22" t="b">
        <v>0</v>
      </c>
      <c r="F23" s="17">
        <f t="shared" si="1"/>
        <v>12.5</v>
      </c>
      <c r="G23" s="17">
        <f t="shared" si="2"/>
        <v>16.97820823</v>
      </c>
      <c r="H23" s="20">
        <f t="shared" si="3"/>
        <v>10</v>
      </c>
      <c r="I23" s="21" t="str">
        <f t="shared" si="4"/>
        <v/>
      </c>
    </row>
    <row r="24">
      <c r="A24" s="9">
        <v>23.0</v>
      </c>
      <c r="B24" s="13" t="s">
        <v>75</v>
      </c>
      <c r="C24" s="17">
        <v>10.5</v>
      </c>
      <c r="E24" s="22" t="b">
        <v>0</v>
      </c>
      <c r="F24" s="17">
        <f t="shared" si="1"/>
        <v>10.5</v>
      </c>
      <c r="G24" s="17">
        <f t="shared" si="2"/>
        <v>14.26169492</v>
      </c>
      <c r="H24" s="20">
        <f t="shared" si="3"/>
        <v>8.4</v>
      </c>
      <c r="I24" s="21" t="str">
        <f t="shared" si="4"/>
        <v/>
      </c>
    </row>
    <row r="25">
      <c r="A25" s="9">
        <v>24.0</v>
      </c>
      <c r="B25" s="13" t="s">
        <v>74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13.58256659</v>
      </c>
      <c r="H25" s="20">
        <f t="shared" si="3"/>
        <v>8</v>
      </c>
      <c r="I25" s="21" t="str">
        <f t="shared" si="4"/>
        <v/>
      </c>
    </row>
    <row r="26">
      <c r="A26" s="9">
        <v>25.0</v>
      </c>
      <c r="B26" s="13" t="s">
        <v>73</v>
      </c>
      <c r="C26" s="17">
        <v>9.0</v>
      </c>
      <c r="E26" s="22" t="b">
        <v>0</v>
      </c>
      <c r="F26" s="17">
        <f t="shared" si="1"/>
        <v>9</v>
      </c>
      <c r="G26" s="17">
        <f t="shared" si="2"/>
        <v>12.22430993</v>
      </c>
      <c r="H26" s="20">
        <f t="shared" si="3"/>
        <v>7.2</v>
      </c>
      <c r="I26" s="21" t="str">
        <f t="shared" si="4"/>
        <v/>
      </c>
    </row>
    <row r="27">
      <c r="A27" s="9">
        <v>26.0</v>
      </c>
      <c r="B27" s="13" t="s">
        <v>156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11.5451816</v>
      </c>
      <c r="H27" s="20">
        <f t="shared" si="3"/>
        <v>6.8</v>
      </c>
      <c r="I27" s="21" t="str">
        <f t="shared" si="4"/>
        <v/>
      </c>
      <c r="K27" s="9" t="s">
        <v>157</v>
      </c>
      <c r="L27" s="9">
        <v>0.8</v>
      </c>
    </row>
    <row r="28">
      <c r="A28" s="9">
        <v>27.0</v>
      </c>
      <c r="B28" s="13" t="s">
        <v>79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10.18692494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80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9.50779661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87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8.828668281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82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8.149539952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88</v>
      </c>
      <c r="C32" s="17">
        <v>5.0</v>
      </c>
      <c r="E32" s="22" t="b">
        <v>0</v>
      </c>
      <c r="F32" s="17">
        <f t="shared" si="1"/>
        <v>5</v>
      </c>
      <c r="G32" s="17">
        <f t="shared" si="2"/>
        <v>6.791283293</v>
      </c>
      <c r="H32" s="20">
        <f t="shared" si="3"/>
        <v>4</v>
      </c>
      <c r="I32" s="21" t="str">
        <f t="shared" si="4"/>
        <v/>
      </c>
    </row>
    <row r="33">
      <c r="A33" s="9">
        <v>32.0</v>
      </c>
      <c r="B33" s="13" t="s">
        <v>91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6.791283293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89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6.112154964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93</v>
      </c>
      <c r="C35" s="17">
        <v>4.0</v>
      </c>
      <c r="E35" s="22" t="b">
        <v>0</v>
      </c>
      <c r="F35" s="17">
        <f t="shared" si="1"/>
        <v>4</v>
      </c>
      <c r="G35" s="17">
        <f t="shared" si="2"/>
        <v>5.433026634</v>
      </c>
      <c r="H35" s="20">
        <f t="shared" si="3"/>
        <v>3.2</v>
      </c>
      <c r="I35" s="21" t="str">
        <f t="shared" si="4"/>
        <v/>
      </c>
    </row>
    <row r="36">
      <c r="A36" s="9">
        <v>35.0</v>
      </c>
      <c r="B36" s="13" t="s">
        <v>96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5.433026634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102</v>
      </c>
      <c r="C37" s="17">
        <v>3.5</v>
      </c>
      <c r="E37" s="22" t="b">
        <v>0</v>
      </c>
      <c r="F37" s="17">
        <f t="shared" si="1"/>
        <v>3.5</v>
      </c>
      <c r="G37" s="17">
        <f t="shared" si="2"/>
        <v>4.753898305</v>
      </c>
      <c r="H37" s="20">
        <f t="shared" si="3"/>
        <v>2.8</v>
      </c>
      <c r="I37" s="21" t="str">
        <f t="shared" si="4"/>
        <v/>
      </c>
    </row>
    <row r="38">
      <c r="A38" s="9">
        <v>37.0</v>
      </c>
      <c r="B38" s="13" t="s">
        <v>78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4.753898305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85</v>
      </c>
      <c r="C39" s="17">
        <v>3.0</v>
      </c>
      <c r="E39" s="22" t="b">
        <v>0</v>
      </c>
      <c r="F39" s="17">
        <f t="shared" si="1"/>
        <v>3</v>
      </c>
      <c r="G39" s="17">
        <f t="shared" si="2"/>
        <v>4.074769976</v>
      </c>
      <c r="H39" s="20">
        <f t="shared" si="3"/>
        <v>2.4</v>
      </c>
      <c r="I39" s="21" t="str">
        <f t="shared" si="4"/>
        <v/>
      </c>
    </row>
    <row r="40">
      <c r="A40" s="9">
        <v>39.0</v>
      </c>
      <c r="B40" s="13" t="s">
        <v>158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4.074769976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84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4.074769976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104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3.395641646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101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3.395641646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95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3.395641646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94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3.395641646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111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2.716513317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159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2.716513317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106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2.716513317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115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2.716513317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160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2.716513317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161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2.716513317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162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2.716513317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163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2.716513317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164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2.716513317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165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2.716513317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166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2.716513317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167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2.716513317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107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2.716513317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97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2.716513317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103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2.716513317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168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2.716513317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169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1.358256659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114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1.358256659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117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1.358256659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170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1.358256659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105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1.358256659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99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1.358256659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98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1.358256659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123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1.358256659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110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1.358256659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171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1.358256659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122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1.358256659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B73" s="9" t="s">
        <v>124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1.358256659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