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<sst xmlns="http://schemas.openxmlformats.org/spreadsheetml/2006/main" count="390" uniqueCount="173">
  <si>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</si>
  <si>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</si>
  <si>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</si>
  <si>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</si>
  <si>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</si>
  <si>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</si>
  <si>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</si>
  <si>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</si>
  <si>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</si>
  <si>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</si>
  <si>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</si>
  <si>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</si>
  <si>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</si>
  <si>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</si>
  <si>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</si>
  <si>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</si>
  <si>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</si>
  <si>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</si>
  <si>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</si>
  <si>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</si>
  <si>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</si>
  <si>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</si>
  <si>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</si>
  <si>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</si>
  <si>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</si>
  <si>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</si>
  <si>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Makayla</t>
  </si>
  <si>
    <t>Blaine</t>
  </si>
  <si>
    <t>Brent</t>
  </si>
  <si>
    <t>Jason</t>
  </si>
  <si>
    <t>Collin</t>
  </si>
  <si>
    <t>Joey</t>
  </si>
  <si>
    <t>Eric</t>
  </si>
  <si>
    <t>MaKayla</t>
  </si>
  <si>
    <t>Ty</t>
  </si>
  <si>
    <t>Kich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</si>
  <si>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</si>
  <si>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</si>
  <si>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</si>
  <si>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</si>
  <si>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</si>
  <si>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</si>
  <si>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</si>
  <si>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</si>
  <si>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</si>
  <si>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</si>
  <si>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</si>
  <si>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</si>
  <si>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</si>
  <si>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</si>
  <si>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</si>
  <si>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</si>
  <si>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</si>
  <si>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</si>
  <si>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</si>
  <si>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</si>
  <si>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</si>
  <si>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</si>
  <si>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</si>
  <si>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</si>
  <si>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</si>
  <si>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</si>
  <si>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</si>
  <si>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</si>
  <si>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</si>
  <si>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</si>
  <si>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</si>
  <si>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</si>
  <si>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</si>
  <si>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</si>
  <si>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</si>
  <si>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</si>
  <si>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</si>
  <si>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</si>
  <si>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</si>
  <si>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</si>
  <si>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</si>
  <si>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</si>
  <si>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</si>
  <si>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</si>
  <si>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</si>
  <si>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</si>
  <si>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</si>
  <si>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</si>
  <si>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</si>
  <si>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</si>
  <si>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</si>
  <si>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</si>
  <si>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</si>
  <si>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</si>
  <si>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</si>
  <si>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</si>
  <si>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</si>
  <si>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</si>
  <si>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</si>
  <si>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</si>
  <si>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</si>
  <si>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</si>
  <si>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</si>
  <si>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</si>
  <si>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</si>
  <si>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</si>
  <si>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</si>
  <si>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</si>
  <si>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</si>
  <si>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</si>
  <si>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</si>
  <si>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</si>
  <si>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</si>
  <si>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</si>
  <si>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</si>
  <si>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</si>
  <si>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</si>
  <si>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</si>
  <si>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</si>
  <si>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</si>
  <si>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</si>
  <si>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</si>
  <si>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</si>
  <si>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</si>
  <si>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</si>
  <si>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</si>
  <si>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</si>
  <si>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</si>
  <si>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</si>
  <si>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</si>
  <si>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</si>
  <si>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</si>
  <si>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</si>
  <si>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</si>
  <si>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</si>
  <si>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</si>
  <si>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</si>
  <si>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</si>
  <si>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</si>
  <si>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</si>
  <si>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</si>
  <si>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</si>
  <si>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</si>
  <si>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</si>
  <si>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</si>
  <si>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</si>
  <si>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</si>
  <si>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</si>
  <si>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</si>
  <si>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</si>
  <si>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</si>
  <si>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</si>
  <si>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</si>
  <si>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</si>
  <si>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CJ Allen</t>
  </si>
  <si>
    <t>Inflation Factor</t>
  </si>
  <si>
    <t>Omar Cooper</t>
  </si>
  <si>
    <t>Aggression</t>
  </si>
  <si>
    <t>League Spent %</t>
  </si>
  <si>
    <t>Rueben Bain</t>
  </si>
  <si>
    <t>Mike Washington</t>
  </si>
  <si>
    <t>Chris Brazzell</t>
  </si>
  <si>
    <t>Enforce % of Fair</t>
  </si>
  <si>
    <t>Anthony Hill</t>
  </si>
  <si>
    <t>Cashius Howell</t>
  </si>
  <si>
    <t>Vinny Anthony</t>
  </si>
  <si>
    <t>Akheem Mesidor</t>
  </si>
  <si>
    <t>Sam Roush</t>
  </si>
  <si>
    <t>A.J. Haulcy</t>
  </si>
  <si>
    <t>Keldric Faulk</t>
  </si>
  <si>
    <t>Peter Woods</t>
  </si>
  <si>
    <t>Kevin Coleman</t>
  </si>
  <si>
    <t>Tanner Koziol</t>
  </si>
  <si>
    <t>John Michael Gyllenborg</t>
  </si>
  <si>
    <t>De'Zhaun Stribling</t>
  </si>
  <si>
    <t>Jeff Caldwell</t>
  </si>
  <si>
    <t>CJ Daniels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</si>
</sst>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7660.0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133.9537944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267</v>
      </c>
      <c r="J2" s="10">
        <f t="shared" ref="J2:J73" si="6">C2*2 - I2</f>
        <v>0.9075888904</v>
      </c>
      <c r="K2" s="10">
        <f>I2 + --(RANK(J2,$J$2:$J$73,0) &lt;= 1200*2 - SUM($I$2:$I$73))</f>
        <v>268</v>
      </c>
      <c r="L2" s="11">
        <f t="shared" ref="L2:L74" si="7">D2</f>
        <v>134.5</v>
      </c>
      <c r="M2" s="7"/>
      <c r="N2" s="7"/>
      <c r="O2" s="5" t="s">
        <v>10</v>
      </c>
      <c r="P2" s="10">
        <f t="shared" ref="P2:AA2" si="1">INDEX($L$1:$L$73, 2 + (ROW()-ROW($P$2))*12 + (COLUMN()-COLUMN($P$2)))</f>
        <v>134.5</v>
      </c>
      <c r="Q2" s="10">
        <f t="shared" si="1"/>
        <v>101.5</v>
      </c>
      <c r="R2" s="10">
        <f t="shared" si="1"/>
        <v>90</v>
      </c>
      <c r="S2" s="10">
        <f t="shared" si="1"/>
        <v>83</v>
      </c>
      <c r="T2" s="10">
        <f t="shared" si="1"/>
        <v>72.5</v>
      </c>
      <c r="U2" s="10">
        <f t="shared" si="1"/>
        <v>65.5</v>
      </c>
      <c r="V2" s="10">
        <f t="shared" si="1"/>
        <v>60.5</v>
      </c>
      <c r="W2" s="10">
        <f t="shared" si="1"/>
        <v>55</v>
      </c>
      <c r="X2" s="10">
        <f t="shared" si="1"/>
        <v>50.5</v>
      </c>
      <c r="Y2" s="10">
        <f t="shared" si="1"/>
        <v>45</v>
      </c>
      <c r="Z2" s="10">
        <f t="shared" si="1"/>
        <v>40.5</v>
      </c>
      <c r="AA2" s="10">
        <f t="shared" si="1"/>
        <v>36</v>
      </c>
      <c r="AB2" s="10">
        <f t="shared" ref="AB2:AB7" si="9">SUM(P2:AA2)</f>
        <v>834.5</v>
      </c>
      <c r="AC2" s="5"/>
      <c r="AD2" s="5"/>
    </row>
    <row r="3">
      <c r="A3" s="8">
        <v>1.02</v>
      </c>
      <c r="B3" s="9">
        <v>5543.0</v>
      </c>
      <c r="C3" s="10">
        <f t="shared" si="2"/>
        <v>100.9919999</v>
      </c>
      <c r="D3" s="10">
        <f t="shared" si="3"/>
        <v>101.5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201</v>
      </c>
      <c r="J3" s="10">
        <f t="shared" si="6"/>
        <v>0.9839998555</v>
      </c>
      <c r="K3" s="10">
        <f t="shared" ref="K3:K73" si="10">MIN(
  I3 + --(RANK(J3,$J$2:$J$73,0) &lt;= 1200*2 - SUM($I$2:$I$73)),
  IF(INT((ROW()-ROW($C$2))/12)=4, 4, IF(INT((ROW()-ROW($C$2))/12)=5, 2, 10^9)),
  K2
)
</f>
        <v>202</v>
      </c>
      <c r="L3" s="11">
        <f t="shared" si="7"/>
        <v>101.5</v>
      </c>
      <c r="M3" s="7"/>
      <c r="N3" s="7"/>
      <c r="O3" s="5" t="s">
        <v>11</v>
      </c>
      <c r="P3" s="10">
        <f t="shared" ref="P3:AA3" si="8">INDEX($L$1:$L$73, 2 + (ROW()-ROW($P$2))*12 + (COLUMN()-COLUMN($P$2)))</f>
        <v>32</v>
      </c>
      <c r="Q3" s="10">
        <f t="shared" si="8"/>
        <v>29</v>
      </c>
      <c r="R3" s="10">
        <f t="shared" si="8"/>
        <v>26</v>
      </c>
      <c r="S3" s="10">
        <f t="shared" si="8"/>
        <v>23.5</v>
      </c>
      <c r="T3" s="10">
        <f t="shared" si="8"/>
        <v>21</v>
      </c>
      <c r="U3" s="10">
        <f t="shared" si="8"/>
        <v>18.5</v>
      </c>
      <c r="V3" s="10">
        <f t="shared" si="8"/>
        <v>16.5</v>
      </c>
      <c r="W3" s="10">
        <f t="shared" si="8"/>
        <v>15</v>
      </c>
      <c r="X3" s="10">
        <f t="shared" si="8"/>
        <v>14</v>
      </c>
      <c r="Y3" s="10">
        <f t="shared" si="8"/>
        <v>12.5</v>
      </c>
      <c r="Z3" s="10">
        <f t="shared" si="8"/>
        <v>10.5</v>
      </c>
      <c r="AA3" s="10">
        <f t="shared" si="8"/>
        <v>10</v>
      </c>
      <c r="AB3" s="10">
        <f t="shared" si="9"/>
        <v>228.5</v>
      </c>
      <c r="AC3" s="5"/>
      <c r="AD3" s="5"/>
    </row>
    <row r="4">
      <c r="A4" s="8">
        <v>1.03</v>
      </c>
      <c r="B4" s="9">
        <v>5428.0</v>
      </c>
      <c r="C4" s="10">
        <f t="shared" si="2"/>
        <v>89.38178209</v>
      </c>
      <c r="D4" s="10">
        <f t="shared" si="3"/>
        <v>90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178</v>
      </c>
      <c r="J4" s="10">
        <f t="shared" si="6"/>
        <v>0.7635641715</v>
      </c>
      <c r="K4" s="10">
        <f t="shared" si="10"/>
        <v>179</v>
      </c>
      <c r="L4" s="11">
        <f t="shared" si="7"/>
        <v>90</v>
      </c>
      <c r="M4" s="7"/>
      <c r="N4" s="7"/>
      <c r="O4" s="5" t="s">
        <v>12</v>
      </c>
      <c r="P4" s="10">
        <f t="shared" ref="P4:AA4" si="11">INDEX($L$1:$L$73, 2 + (ROW()-ROW($P$2))*12 + (COLUMN()-COLUMN($P$2)))</f>
        <v>9</v>
      </c>
      <c r="Q4" s="10">
        <f t="shared" si="11"/>
        <v>8.5</v>
      </c>
      <c r="R4" s="10">
        <f t="shared" si="11"/>
        <v>7.5</v>
      </c>
      <c r="S4" s="10">
        <f t="shared" si="11"/>
        <v>7</v>
      </c>
      <c r="T4" s="10">
        <f t="shared" si="11"/>
        <v>6.5</v>
      </c>
      <c r="U4" s="10">
        <f t="shared" si="11"/>
        <v>6</v>
      </c>
      <c r="V4" s="10">
        <f t="shared" si="11"/>
        <v>5</v>
      </c>
      <c r="W4" s="10">
        <f t="shared" si="11"/>
        <v>5</v>
      </c>
      <c r="X4" s="10">
        <f t="shared" si="11"/>
        <v>4.5</v>
      </c>
      <c r="Y4" s="10">
        <f t="shared" si="11"/>
        <v>4</v>
      </c>
      <c r="Z4" s="10">
        <f t="shared" si="11"/>
        <v>4</v>
      </c>
      <c r="AA4" s="10">
        <f t="shared" si="11"/>
        <v>3.5</v>
      </c>
      <c r="AB4" s="10">
        <f t="shared" si="9"/>
        <v>70.5</v>
      </c>
      <c r="AC4" s="5"/>
      <c r="AD4" s="5"/>
    </row>
    <row r="5">
      <c r="A5" s="8">
        <v>1.04</v>
      </c>
      <c r="B5" s="9">
        <v>5351.0</v>
      </c>
      <c r="C5" s="10">
        <f t="shared" si="2"/>
        <v>82.68227902</v>
      </c>
      <c r="D5" s="10">
        <f t="shared" si="3"/>
        <v>83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165</v>
      </c>
      <c r="J5" s="10">
        <f t="shared" si="6"/>
        <v>0.3645580416</v>
      </c>
      <c r="K5" s="10">
        <f t="shared" si="10"/>
        <v>165</v>
      </c>
      <c r="L5" s="11">
        <f t="shared" si="7"/>
        <v>83</v>
      </c>
      <c r="M5" s="7"/>
      <c r="N5" s="7"/>
      <c r="O5" s="5" t="s">
        <v>13</v>
      </c>
      <c r="P5" s="10">
        <f t="shared" ref="P5:AA5" si="12">INDEX($L$1:$L$73, 2 + (ROW()-ROW($P$2))*12 + (COLUMN()-COLUMN($P$2)))</f>
        <v>3.5</v>
      </c>
      <c r="Q5" s="10">
        <f t="shared" si="12"/>
        <v>3</v>
      </c>
      <c r="R5" s="10">
        <f t="shared" si="12"/>
        <v>3</v>
      </c>
      <c r="S5" s="10">
        <f t="shared" si="12"/>
        <v>3</v>
      </c>
      <c r="T5" s="10">
        <f t="shared" si="12"/>
        <v>2.5</v>
      </c>
      <c r="U5" s="10">
        <f t="shared" si="12"/>
        <v>2.5</v>
      </c>
      <c r="V5" s="10">
        <f t="shared" si="12"/>
        <v>2.5</v>
      </c>
      <c r="W5" s="10">
        <f t="shared" si="12"/>
        <v>2.5</v>
      </c>
      <c r="X5" s="10">
        <f t="shared" si="12"/>
        <v>2</v>
      </c>
      <c r="Y5" s="10">
        <f t="shared" si="12"/>
        <v>2</v>
      </c>
      <c r="Z5" s="10">
        <f t="shared" si="12"/>
        <v>2</v>
      </c>
      <c r="AA5" s="10">
        <f t="shared" si="12"/>
        <v>2</v>
      </c>
      <c r="AB5" s="10">
        <f t="shared" si="9"/>
        <v>30.5</v>
      </c>
      <c r="AC5" s="5"/>
      <c r="AD5" s="5"/>
    </row>
    <row r="6">
      <c r="A6" s="8">
        <v>1.05</v>
      </c>
      <c r="B6" s="9">
        <v>4887.0</v>
      </c>
      <c r="C6" s="10">
        <f t="shared" si="2"/>
        <v>72.01382412</v>
      </c>
      <c r="D6" s="10">
        <f t="shared" si="3"/>
        <v>72.5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144</v>
      </c>
      <c r="J6" s="10">
        <f t="shared" si="6"/>
        <v>0.02764823796</v>
      </c>
      <c r="K6" s="10">
        <f t="shared" si="10"/>
        <v>144</v>
      </c>
      <c r="L6" s="11">
        <f t="shared" si="7"/>
        <v>72.5</v>
      </c>
      <c r="M6" s="7"/>
      <c r="N6" s="7"/>
      <c r="O6" s="5" t="s">
        <v>14</v>
      </c>
      <c r="P6" s="10">
        <f t="shared" ref="P6:AA6" si="13">INDEX($L$1:$L$73, 2 + (ROW()-ROW($P$2))*12 + (COLUMN()-COLUMN($P$2)))</f>
        <v>2</v>
      </c>
      <c r="Q6" s="10">
        <f t="shared" si="13"/>
        <v>2</v>
      </c>
      <c r="R6" s="10">
        <f t="shared" si="13"/>
        <v>2</v>
      </c>
      <c r="S6" s="10">
        <f t="shared" si="13"/>
        <v>2</v>
      </c>
      <c r="T6" s="10">
        <f t="shared" si="13"/>
        <v>2</v>
      </c>
      <c r="U6" s="10">
        <f t="shared" si="13"/>
        <v>2</v>
      </c>
      <c r="V6" s="10">
        <f t="shared" si="13"/>
        <v>2</v>
      </c>
      <c r="W6" s="10">
        <f t="shared" si="13"/>
        <v>2</v>
      </c>
      <c r="X6" s="10">
        <f t="shared" si="13"/>
        <v>2</v>
      </c>
      <c r="Y6" s="10">
        <f t="shared" si="13"/>
        <v>2</v>
      </c>
      <c r="Z6" s="10">
        <f t="shared" si="13"/>
        <v>2</v>
      </c>
      <c r="AA6" s="10">
        <f t="shared" si="13"/>
        <v>2</v>
      </c>
      <c r="AB6" s="10">
        <f t="shared" si="9"/>
        <v>24</v>
      </c>
      <c r="AC6" s="5"/>
      <c r="AD6" s="5"/>
    </row>
    <row r="7">
      <c r="A7" s="8">
        <v>1.06</v>
      </c>
      <c r="B7" s="9">
        <v>4647.0</v>
      </c>
      <c r="C7" s="10">
        <f t="shared" si="2"/>
        <v>64.85125191</v>
      </c>
      <c r="D7" s="10">
        <f t="shared" si="3"/>
        <v>65.5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129</v>
      </c>
      <c r="J7" s="10">
        <f t="shared" si="6"/>
        <v>0.7025038107</v>
      </c>
      <c r="K7" s="10">
        <f t="shared" si="10"/>
        <v>130</v>
      </c>
      <c r="L7" s="11">
        <f t="shared" si="7"/>
        <v>65.5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4640.0</v>
      </c>
      <c r="C8" s="10">
        <f t="shared" si="2"/>
        <v>59.95933081</v>
      </c>
      <c r="D8" s="10">
        <f t="shared" si="3"/>
        <v>60.5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119</v>
      </c>
      <c r="J8" s="10">
        <f t="shared" si="6"/>
        <v>0.9186616216</v>
      </c>
      <c r="K8" s="10">
        <f t="shared" si="10"/>
        <v>120</v>
      </c>
      <c r="L8" s="11">
        <f t="shared" si="7"/>
        <v>60.5</v>
      </c>
      <c r="M8" s="7"/>
      <c r="N8" s="7"/>
      <c r="O8" s="7"/>
      <c r="P8" s="10">
        <f t="shared" ref="P8:AB8" si="15">SUM(P2:P7)</f>
        <v>182</v>
      </c>
      <c r="Q8" s="10">
        <f t="shared" si="15"/>
        <v>145</v>
      </c>
      <c r="R8" s="10">
        <f t="shared" si="15"/>
        <v>129.5</v>
      </c>
      <c r="S8" s="10">
        <f t="shared" si="15"/>
        <v>119.5</v>
      </c>
      <c r="T8" s="10">
        <f t="shared" si="15"/>
        <v>105.5</v>
      </c>
      <c r="U8" s="10">
        <f t="shared" si="15"/>
        <v>95.5</v>
      </c>
      <c r="V8" s="10">
        <f t="shared" si="15"/>
        <v>87.5</v>
      </c>
      <c r="W8" s="10">
        <f t="shared" si="15"/>
        <v>80.5</v>
      </c>
      <c r="X8" s="10">
        <f t="shared" si="15"/>
        <v>74</v>
      </c>
      <c r="Y8" s="10">
        <f t="shared" si="15"/>
        <v>66.5</v>
      </c>
      <c r="Z8" s="10">
        <f t="shared" si="15"/>
        <v>60</v>
      </c>
      <c r="AA8" s="10">
        <f t="shared" si="15"/>
        <v>54.5</v>
      </c>
      <c r="AB8" s="10">
        <f t="shared" si="15"/>
        <v>1200</v>
      </c>
      <c r="AC8" s="5"/>
      <c r="AD8" s="5"/>
    </row>
    <row r="9">
      <c r="A9" s="8">
        <v>1.08</v>
      </c>
      <c r="B9" s="9">
        <v>4440.0</v>
      </c>
      <c r="C9" s="10">
        <f t="shared" si="2"/>
        <v>54.36054894</v>
      </c>
      <c r="D9" s="10">
        <f t="shared" si="3"/>
        <v>55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108</v>
      </c>
      <c r="J9" s="10">
        <f t="shared" si="6"/>
        <v>0.7210978795</v>
      </c>
      <c r="K9" s="10">
        <f t="shared" si="10"/>
        <v>109</v>
      </c>
      <c r="L9" s="11">
        <f t="shared" si="7"/>
        <v>55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4352.0</v>
      </c>
      <c r="C10" s="10">
        <f t="shared" si="2"/>
        <v>49.76603403</v>
      </c>
      <c r="D10" s="10">
        <f t="shared" si="3"/>
        <v>50.5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99</v>
      </c>
      <c r="J10" s="10">
        <f t="shared" si="6"/>
        <v>0.5320680636</v>
      </c>
      <c r="K10" s="10">
        <f t="shared" si="10"/>
        <v>100</v>
      </c>
      <c r="L10" s="11">
        <f t="shared" si="7"/>
        <v>50.5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4277.0</v>
      </c>
      <c r="C11" s="10">
        <f t="shared" si="2"/>
        <v>44.38780232</v>
      </c>
      <c r="D11" s="10">
        <f t="shared" si="3"/>
        <v>45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88</v>
      </c>
      <c r="J11" s="10">
        <f t="shared" si="6"/>
        <v>0.7756046318</v>
      </c>
      <c r="K11" s="10">
        <f t="shared" si="10"/>
        <v>89</v>
      </c>
      <c r="L11" s="11">
        <f t="shared" si="7"/>
        <v>45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4071.0</v>
      </c>
      <c r="C12" s="10">
        <f t="shared" si="2"/>
        <v>40.0016894</v>
      </c>
      <c r="D12" s="10">
        <f t="shared" si="3"/>
        <v>40.5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80</v>
      </c>
      <c r="J12" s="10">
        <f t="shared" si="6"/>
        <v>0.003378792016</v>
      </c>
      <c r="K12" s="10">
        <f t="shared" si="10"/>
        <v>80</v>
      </c>
      <c r="L12" s="11">
        <f t="shared" si="7"/>
        <v>40.5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3962.0</v>
      </c>
      <c r="C13" s="10">
        <f t="shared" si="2"/>
        <v>35.51785008</v>
      </c>
      <c r="D13" s="10">
        <f t="shared" si="3"/>
        <v>36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71</v>
      </c>
      <c r="J13" s="10">
        <f t="shared" si="6"/>
        <v>0.03570016782</v>
      </c>
      <c r="K13" s="10">
        <f t="shared" si="10"/>
        <v>71</v>
      </c>
      <c r="L13" s="11">
        <f t="shared" si="7"/>
        <v>36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3841.0</v>
      </c>
      <c r="C14" s="10">
        <f t="shared" si="2"/>
        <v>31.77784632</v>
      </c>
      <c r="D14" s="10">
        <f t="shared" si="3"/>
        <v>32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63</v>
      </c>
      <c r="J14" s="10">
        <f t="shared" si="6"/>
        <v>0.555692644</v>
      </c>
      <c r="K14" s="10">
        <f t="shared" si="10"/>
        <v>64</v>
      </c>
      <c r="L14" s="11">
        <f t="shared" si="7"/>
        <v>32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3808.0</v>
      </c>
      <c r="C15" s="10">
        <f t="shared" si="2"/>
        <v>28.88389075</v>
      </c>
      <c r="D15" s="10">
        <f t="shared" si="3"/>
        <v>29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57</v>
      </c>
      <c r="J15" s="10">
        <f t="shared" si="6"/>
        <v>0.7677815012</v>
      </c>
      <c r="K15" s="10">
        <f t="shared" si="10"/>
        <v>58</v>
      </c>
      <c r="L15" s="11">
        <f t="shared" si="7"/>
        <v>29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3683.0</v>
      </c>
      <c r="C16" s="10">
        <f t="shared" si="2"/>
        <v>26.23082668</v>
      </c>
      <c r="D16" s="10">
        <f t="shared" si="3"/>
        <v>26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52</v>
      </c>
      <c r="J16" s="10">
        <f t="shared" si="6"/>
        <v>0.4616533503</v>
      </c>
      <c r="K16" s="10">
        <f t="shared" si="10"/>
        <v>52</v>
      </c>
      <c r="L16" s="11">
        <f t="shared" si="7"/>
        <v>26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3508.0</v>
      </c>
      <c r="C17" s="10">
        <f t="shared" si="2"/>
        <v>23.47489006</v>
      </c>
      <c r="D17" s="10">
        <f t="shared" si="3"/>
        <v>23.5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46</v>
      </c>
      <c r="J17" s="10">
        <f t="shared" si="6"/>
        <v>0.9497801196</v>
      </c>
      <c r="K17" s="10">
        <f t="shared" si="10"/>
        <v>47</v>
      </c>
      <c r="L17" s="11">
        <f t="shared" si="7"/>
        <v>23.5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3440.0</v>
      </c>
      <c r="C18" s="10">
        <f t="shared" si="2"/>
        <v>21.1911087</v>
      </c>
      <c r="D18" s="10">
        <f t="shared" si="3"/>
        <v>21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42</v>
      </c>
      <c r="J18" s="10">
        <f t="shared" si="6"/>
        <v>0.3822174041</v>
      </c>
      <c r="K18" s="10">
        <f t="shared" si="10"/>
        <v>42</v>
      </c>
      <c r="L18" s="11">
        <f t="shared" si="7"/>
        <v>21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3140.0</v>
      </c>
      <c r="C19" s="10">
        <f t="shared" si="2"/>
        <v>18.65149366</v>
      </c>
      <c r="D19" s="10">
        <f t="shared" si="3"/>
        <v>18.5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37</v>
      </c>
      <c r="J19" s="10">
        <f t="shared" si="6"/>
        <v>0.3029873246</v>
      </c>
      <c r="K19" s="10">
        <f t="shared" si="10"/>
        <v>37</v>
      </c>
      <c r="L19" s="11">
        <f t="shared" si="7"/>
        <v>18.5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3024.0</v>
      </c>
      <c r="C20" s="10">
        <f t="shared" si="2"/>
        <v>16.74204307</v>
      </c>
      <c r="D20" s="10">
        <f t="shared" si="3"/>
        <v>16.5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33</v>
      </c>
      <c r="J20" s="10">
        <f t="shared" si="6"/>
        <v>0.4840861454</v>
      </c>
      <c r="K20" s="10">
        <f t="shared" si="10"/>
        <v>33</v>
      </c>
      <c r="L20" s="11">
        <f t="shared" si="7"/>
        <v>16.5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2901.0</v>
      </c>
      <c r="C21" s="10">
        <f t="shared" si="2"/>
        <v>15.11863921</v>
      </c>
      <c r="D21" s="10">
        <f t="shared" si="3"/>
        <v>15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30</v>
      </c>
      <c r="J21" s="10">
        <f t="shared" si="6"/>
        <v>0.2372784142</v>
      </c>
      <c r="K21" s="10">
        <f t="shared" si="10"/>
        <v>30</v>
      </c>
      <c r="L21" s="11">
        <f t="shared" si="7"/>
        <v>15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2887.0</v>
      </c>
      <c r="C22" s="10">
        <f t="shared" si="2"/>
        <v>13.85976068</v>
      </c>
      <c r="D22" s="10">
        <f t="shared" si="3"/>
        <v>14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27</v>
      </c>
      <c r="J22" s="10">
        <f t="shared" si="6"/>
        <v>0.719521356</v>
      </c>
      <c r="K22" s="10">
        <f t="shared" si="10"/>
        <v>28</v>
      </c>
      <c r="L22" s="11">
        <f t="shared" si="7"/>
        <v>14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2769.0</v>
      </c>
      <c r="C23" s="10">
        <f t="shared" si="2"/>
        <v>12.29417089</v>
      </c>
      <c r="D23" s="10">
        <f t="shared" si="3"/>
        <v>12.5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24</v>
      </c>
      <c r="J23" s="10">
        <f t="shared" si="6"/>
        <v>0.5883417803</v>
      </c>
      <c r="K23" s="10">
        <f t="shared" si="10"/>
        <v>25</v>
      </c>
      <c r="L23" s="11">
        <f t="shared" si="7"/>
        <v>12.5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2446.0</v>
      </c>
      <c r="C24" s="10">
        <f t="shared" si="2"/>
        <v>10.63754613</v>
      </c>
      <c r="D24" s="10">
        <f t="shared" si="3"/>
        <v>10.5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0.2750922692</v>
      </c>
      <c r="K24" s="10">
        <f t="shared" si="10"/>
        <v>21</v>
      </c>
      <c r="L24" s="11">
        <f t="shared" si="7"/>
        <v>10.5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2436.0</v>
      </c>
      <c r="C25" s="10">
        <f t="shared" si="2"/>
        <v>9.961820154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19</v>
      </c>
      <c r="J25" s="10">
        <f t="shared" si="6"/>
        <v>0.923640308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2412.0</v>
      </c>
      <c r="C26" s="10">
        <f t="shared" si="2"/>
        <v>9.128907957</v>
      </c>
      <c r="D26" s="10">
        <f t="shared" si="3"/>
        <v>9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18</v>
      </c>
      <c r="J26" s="10">
        <f t="shared" si="6"/>
        <v>0.2578159146</v>
      </c>
      <c r="K26" s="10">
        <f t="shared" si="10"/>
        <v>18</v>
      </c>
      <c r="L26" s="11">
        <f t="shared" si="7"/>
        <v>9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2367.0</v>
      </c>
      <c r="C27" s="10">
        <f t="shared" si="2"/>
        <v>8.424966136</v>
      </c>
      <c r="D27" s="10">
        <f t="shared" si="3"/>
        <v>8.5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16</v>
      </c>
      <c r="J27" s="10">
        <f t="shared" si="6"/>
        <v>0.8499322724</v>
      </c>
      <c r="K27" s="10">
        <f t="shared" si="10"/>
        <v>17</v>
      </c>
      <c r="L27" s="11">
        <f t="shared" si="7"/>
        <v>8.5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2319.0</v>
      </c>
      <c r="C28" s="10">
        <f t="shared" si="2"/>
        <v>7.656667123</v>
      </c>
      <c r="D28" s="10">
        <f t="shared" si="3"/>
        <v>7.5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15</v>
      </c>
      <c r="J28" s="10">
        <f t="shared" si="6"/>
        <v>0.3133342455</v>
      </c>
      <c r="K28" s="10">
        <f t="shared" si="10"/>
        <v>15</v>
      </c>
      <c r="L28" s="11">
        <f t="shared" si="7"/>
        <v>7.5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2190.0</v>
      </c>
      <c r="C29" s="10">
        <f t="shared" si="2"/>
        <v>6.864574946</v>
      </c>
      <c r="D29" s="10">
        <f t="shared" si="3"/>
        <v>7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0.729149893</v>
      </c>
      <c r="K29" s="10">
        <f t="shared" si="10"/>
        <v>14</v>
      </c>
      <c r="L29" s="11">
        <f t="shared" si="7"/>
        <v>7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2125.0</v>
      </c>
      <c r="C30" s="10">
        <f t="shared" si="2"/>
        <v>6.315443152</v>
      </c>
      <c r="D30" s="10">
        <f t="shared" si="3"/>
        <v>6.5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12</v>
      </c>
      <c r="J30" s="10">
        <f t="shared" si="6"/>
        <v>0.6308863033</v>
      </c>
      <c r="K30" s="10">
        <f t="shared" si="10"/>
        <v>13</v>
      </c>
      <c r="L30" s="11">
        <f t="shared" si="7"/>
        <v>6.5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3.0</v>
      </c>
      <c r="W30" s="12" t="s">
        <v>26</v>
      </c>
      <c r="X30" s="13" t="s">
        <v>27</v>
      </c>
      <c r="Y30" s="7" t="str">
        <f t="shared" ref="Y30:Y81" si="17">TEXT(V30,"0")&amp;"|"&amp;TRIM(W30)</f>
        <v>3|Makayla</v>
      </c>
      <c r="Z30" s="7"/>
      <c r="AA30" s="7"/>
      <c r="AB30" s="7"/>
      <c r="AC30" s="7"/>
      <c r="AD30" s="7"/>
    </row>
    <row r="31">
      <c r="A31" s="8">
        <v>3.06</v>
      </c>
      <c r="B31" s="9">
        <v>2094.0</v>
      </c>
      <c r="C31" s="10">
        <f t="shared" si="2"/>
        <v>5.845066575</v>
      </c>
      <c r="D31" s="10">
        <f t="shared" si="3"/>
        <v>6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11</v>
      </c>
      <c r="J31" s="10">
        <f t="shared" si="6"/>
        <v>0.6901331501</v>
      </c>
      <c r="K31" s="10">
        <f t="shared" si="10"/>
        <v>12</v>
      </c>
      <c r="L31" s="11">
        <f t="shared" si="7"/>
        <v>6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2.0</v>
      </c>
      <c r="W31" s="13" t="s">
        <v>29</v>
      </c>
      <c r="X31" s="13" t="s">
        <v>30</v>
      </c>
      <c r="Y31" s="7" t="str">
        <f t="shared" si="17"/>
        <v>2|Jason</v>
      </c>
      <c r="Z31" s="7"/>
      <c r="AA31" s="7"/>
      <c r="AB31" s="7"/>
      <c r="AC31" s="7"/>
      <c r="AD31" s="7"/>
    </row>
    <row r="32">
      <c r="A32" s="8">
        <v>3.07</v>
      </c>
      <c r="B32" s="9">
        <v>2061.0</v>
      </c>
      <c r="C32" s="10">
        <f t="shared" si="2"/>
        <v>5.23203327</v>
      </c>
      <c r="D32" s="10">
        <f t="shared" si="3"/>
        <v>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10</v>
      </c>
      <c r="J32" s="10">
        <f t="shared" si="6"/>
        <v>0.4640665396</v>
      </c>
      <c r="K32" s="10">
        <f t="shared" si="10"/>
        <v>10</v>
      </c>
      <c r="L32" s="11">
        <f t="shared" si="7"/>
        <v>5</v>
      </c>
      <c r="M32" s="7"/>
      <c r="N32" s="7"/>
      <c r="O32" s="4">
        <v>3.0</v>
      </c>
      <c r="P32" s="5" t="s">
        <v>31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32</v>
      </c>
      <c r="X32" s="13" t="s">
        <v>30</v>
      </c>
      <c r="Y32" s="7" t="str">
        <f t="shared" si="17"/>
        <v>2|Eric</v>
      </c>
      <c r="Z32" s="7"/>
      <c r="AA32" s="7"/>
      <c r="AB32" s="7"/>
      <c r="AC32" s="7"/>
      <c r="AD32" s="7"/>
    </row>
    <row r="33">
      <c r="A33" s="8">
        <v>3.08</v>
      </c>
      <c r="B33" s="9">
        <v>1957.0</v>
      </c>
      <c r="C33" s="10">
        <f t="shared" si="2"/>
        <v>4.757468998</v>
      </c>
      <c r="D33" s="10">
        <f t="shared" si="3"/>
        <v>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9</v>
      </c>
      <c r="J33" s="10">
        <f t="shared" si="6"/>
        <v>0.5149379963</v>
      </c>
      <c r="K33" s="10">
        <f t="shared" si="10"/>
        <v>10</v>
      </c>
      <c r="L33" s="11">
        <f t="shared" si="7"/>
        <v>5</v>
      </c>
      <c r="M33" s="7"/>
      <c r="N33" s="7"/>
      <c r="O33" s="4">
        <v>4.0</v>
      </c>
      <c r="P33" s="5" t="s">
        <v>33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25</v>
      </c>
      <c r="X33" s="13" t="s">
        <v>30</v>
      </c>
      <c r="Y33" s="7" t="str">
        <f t="shared" si="17"/>
        <v>2|Ed</v>
      </c>
      <c r="Z33" s="7"/>
      <c r="AA33" s="7"/>
      <c r="AB33" s="7"/>
      <c r="AC33" s="7"/>
      <c r="AD33" s="7"/>
    </row>
    <row r="34">
      <c r="A34" s="8">
        <v>3.09</v>
      </c>
      <c r="B34" s="9">
        <v>1907.0</v>
      </c>
      <c r="C34" s="10">
        <f t="shared" si="2"/>
        <v>4.339154724</v>
      </c>
      <c r="D34" s="10">
        <f t="shared" si="3"/>
        <v>4.5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8</v>
      </c>
      <c r="J34" s="10">
        <f t="shared" si="6"/>
        <v>0.678309448</v>
      </c>
      <c r="K34" s="10">
        <f t="shared" si="10"/>
        <v>9</v>
      </c>
      <c r="L34" s="11">
        <f t="shared" si="7"/>
        <v>4.5</v>
      </c>
      <c r="M34" s="7"/>
      <c r="N34" s="7"/>
      <c r="O34" s="4">
        <v>5.0</v>
      </c>
      <c r="P34" s="5" t="s">
        <v>34</v>
      </c>
      <c r="Q34" s="7"/>
      <c r="R34" s="4">
        <v>8.0</v>
      </c>
      <c r="S34" s="7"/>
      <c r="T34" s="7" t="str">
        <f t="shared" si="16"/>
        <v>Ty</v>
      </c>
      <c r="U34" s="7"/>
      <c r="V34" s="14">
        <v>4.0</v>
      </c>
      <c r="W34" s="13" t="s">
        <v>31</v>
      </c>
      <c r="X34" s="13" t="s">
        <v>30</v>
      </c>
      <c r="Y34" s="7" t="str">
        <f t="shared" si="17"/>
        <v>4|Joey</v>
      </c>
      <c r="Z34" s="7"/>
      <c r="AA34" s="7"/>
      <c r="AB34" s="7"/>
      <c r="AC34" s="7"/>
      <c r="AD34" s="7"/>
    </row>
    <row r="35">
      <c r="A35" s="8">
        <v>3.1</v>
      </c>
      <c r="B35" s="9">
        <v>1865.0</v>
      </c>
      <c r="C35" s="10">
        <f t="shared" si="2"/>
        <v>4.113323206</v>
      </c>
      <c r="D35" s="10">
        <f t="shared" si="3"/>
        <v>4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8</v>
      </c>
      <c r="J35" s="10">
        <f t="shared" si="6"/>
        <v>0.2266464123</v>
      </c>
      <c r="K35" s="10">
        <f t="shared" si="10"/>
        <v>8</v>
      </c>
      <c r="L35" s="11">
        <f t="shared" si="7"/>
        <v>4</v>
      </c>
      <c r="M35" s="7"/>
      <c r="N35" s="7"/>
      <c r="O35" s="4">
        <v>6.0</v>
      </c>
      <c r="P35" s="5" t="s">
        <v>35</v>
      </c>
      <c r="Q35" s="7"/>
      <c r="R35" s="4">
        <v>7.0</v>
      </c>
      <c r="S35" s="7"/>
      <c r="T35" s="7" t="str">
        <f t="shared" si="16"/>
        <v>Kich</v>
      </c>
      <c r="U35" s="7"/>
      <c r="V35" s="14">
        <v>5.0</v>
      </c>
      <c r="W35" s="13" t="s">
        <v>31</v>
      </c>
      <c r="X35" s="13" t="s">
        <v>30</v>
      </c>
      <c r="Y35" s="7" t="str">
        <f t="shared" si="17"/>
        <v>5|Joey</v>
      </c>
      <c r="Z35" s="7"/>
      <c r="AA35" s="7"/>
      <c r="AB35" s="7"/>
      <c r="AC35" s="7"/>
      <c r="AD35" s="7"/>
    </row>
    <row r="36">
      <c r="A36" s="8">
        <v>3.11</v>
      </c>
      <c r="B36" s="9">
        <v>1837.0</v>
      </c>
      <c r="C36" s="10">
        <f t="shared" si="2"/>
        <v>3.753799375</v>
      </c>
      <c r="D36" s="10">
        <f t="shared" si="3"/>
        <v>4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7</v>
      </c>
      <c r="J36" s="10">
        <f t="shared" si="6"/>
        <v>0.5075987505</v>
      </c>
      <c r="K36" s="10">
        <f t="shared" si="10"/>
        <v>8</v>
      </c>
      <c r="L36" s="11">
        <f t="shared" si="7"/>
        <v>4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5.0</v>
      </c>
      <c r="W36" s="13" t="s">
        <v>28</v>
      </c>
      <c r="X36" s="13" t="s">
        <v>25</v>
      </c>
      <c r="Y36" s="7" t="str">
        <f t="shared" si="17"/>
        <v>5|Brent</v>
      </c>
      <c r="Z36" s="7"/>
      <c r="AA36" s="7"/>
      <c r="AB36" s="7"/>
      <c r="AC36" s="7"/>
      <c r="AD36" s="7"/>
    </row>
    <row r="37">
      <c r="A37" s="8">
        <v>3.12</v>
      </c>
      <c r="B37" s="9">
        <v>1782.0</v>
      </c>
      <c r="C37" s="10">
        <f t="shared" si="2"/>
        <v>3.58305667</v>
      </c>
      <c r="D37" s="10">
        <f t="shared" si="3"/>
        <v>3.5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7</v>
      </c>
      <c r="J37" s="10">
        <f t="shared" si="6"/>
        <v>0.1661133392</v>
      </c>
      <c r="K37" s="10">
        <f t="shared" si="10"/>
        <v>7</v>
      </c>
      <c r="L37" s="11">
        <f t="shared" si="7"/>
        <v>3.5</v>
      </c>
      <c r="M37" s="7"/>
      <c r="N37" s="7"/>
      <c r="O37" s="4">
        <v>8.0</v>
      </c>
      <c r="P37" s="5" t="s">
        <v>30</v>
      </c>
      <c r="Q37" s="7"/>
      <c r="R37" s="4">
        <v>5.0</v>
      </c>
      <c r="S37" s="7"/>
      <c r="T37" s="7" t="str">
        <f t="shared" si="16"/>
        <v>Collin</v>
      </c>
      <c r="U37" s="7"/>
      <c r="V37" s="14">
        <v>6.0</v>
      </c>
      <c r="W37" s="13" t="s">
        <v>28</v>
      </c>
      <c r="X37" s="13" t="s">
        <v>25</v>
      </c>
      <c r="Y37" s="7" t="str">
        <f t="shared" si="17"/>
        <v>6|Brent</v>
      </c>
      <c r="Z37" s="7"/>
      <c r="AA37" s="7"/>
      <c r="AB37" s="7"/>
      <c r="AC37" s="7"/>
      <c r="AD37" s="7"/>
    </row>
    <row r="38">
      <c r="A38" s="8">
        <v>4.01</v>
      </c>
      <c r="B38" s="9">
        <v>1771.0</v>
      </c>
      <c r="C38" s="10">
        <f t="shared" si="2"/>
        <v>3.298318867</v>
      </c>
      <c r="D38" s="10">
        <f t="shared" si="3"/>
        <v>3.5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6</v>
      </c>
      <c r="J38" s="10">
        <f t="shared" si="6"/>
        <v>0.5966377345</v>
      </c>
      <c r="K38" s="10">
        <f t="shared" si="10"/>
        <v>7</v>
      </c>
      <c r="L38" s="11">
        <f t="shared" si="7"/>
        <v>3.5</v>
      </c>
      <c r="M38" s="7"/>
      <c r="N38" s="7"/>
      <c r="O38" s="4">
        <v>9.0</v>
      </c>
      <c r="P38" s="5" t="s">
        <v>36</v>
      </c>
      <c r="Q38" s="7"/>
      <c r="R38" s="4">
        <v>4.0</v>
      </c>
      <c r="S38" s="7"/>
      <c r="T38" s="7" t="str">
        <f t="shared" si="16"/>
        <v>Roy</v>
      </c>
      <c r="U38" s="7"/>
      <c r="V38" s="14">
        <v>1.0</v>
      </c>
      <c r="W38" s="13" t="s">
        <v>27</v>
      </c>
      <c r="X38" s="13" t="s">
        <v>29</v>
      </c>
      <c r="Y38" s="7" t="str">
        <f t="shared" si="17"/>
        <v>1|Blaine</v>
      </c>
      <c r="Z38" s="7"/>
      <c r="AA38" s="7"/>
      <c r="AB38" s="7"/>
      <c r="AC38" s="7"/>
      <c r="AD38" s="7"/>
    </row>
    <row r="39">
      <c r="A39" s="8">
        <v>4.02</v>
      </c>
      <c r="B39" s="9">
        <v>1714.0</v>
      </c>
      <c r="C39" s="10">
        <f t="shared" si="2"/>
        <v>3.122265286</v>
      </c>
      <c r="D39" s="10">
        <f t="shared" si="3"/>
        <v>3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6</v>
      </c>
      <c r="J39" s="10">
        <f t="shared" si="6"/>
        <v>0.2445305714</v>
      </c>
      <c r="K39" s="10">
        <f t="shared" si="10"/>
        <v>6</v>
      </c>
      <c r="L39" s="11">
        <f t="shared" si="7"/>
        <v>3</v>
      </c>
      <c r="M39" s="7"/>
      <c r="N39" s="7"/>
      <c r="O39" s="4">
        <v>10.0</v>
      </c>
      <c r="P39" s="5" t="s">
        <v>29</v>
      </c>
      <c r="Q39" s="7"/>
      <c r="R39" s="4">
        <v>3.0</v>
      </c>
      <c r="S39" s="7"/>
      <c r="T39" s="7" t="str">
        <f t="shared" si="16"/>
        <v>Jason</v>
      </c>
      <c r="U39" s="7"/>
      <c r="V39" s="14">
        <v>1.0</v>
      </c>
      <c r="W39" s="13" t="s">
        <v>25</v>
      </c>
      <c r="X39" s="13" t="s">
        <v>29</v>
      </c>
      <c r="Y39" s="7" t="str">
        <f t="shared" si="17"/>
        <v>1|Ed</v>
      </c>
      <c r="Z39" s="7"/>
      <c r="AA39" s="7"/>
      <c r="AB39" s="7"/>
      <c r="AC39" s="7"/>
      <c r="AD39" s="7"/>
    </row>
    <row r="40">
      <c r="A40" s="8">
        <v>4.03</v>
      </c>
      <c r="B40" s="9">
        <v>1683.0</v>
      </c>
      <c r="C40" s="10">
        <f t="shared" si="2"/>
        <v>2.845924425</v>
      </c>
      <c r="D40" s="10">
        <f t="shared" si="3"/>
        <v>3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5</v>
      </c>
      <c r="J40" s="10">
        <f t="shared" si="6"/>
        <v>0.6918488493</v>
      </c>
      <c r="K40" s="10">
        <f t="shared" si="10"/>
        <v>6</v>
      </c>
      <c r="L40" s="11">
        <f t="shared" si="7"/>
        <v>3</v>
      </c>
      <c r="M40" s="7"/>
      <c r="N40" s="7"/>
      <c r="O40" s="4">
        <v>11.0</v>
      </c>
      <c r="P40" s="5" t="s">
        <v>27</v>
      </c>
      <c r="Q40" s="7"/>
      <c r="R40" s="4">
        <v>2.0</v>
      </c>
      <c r="S40" s="7"/>
      <c r="T40" s="7" t="str">
        <f t="shared" si="16"/>
        <v>Blaine</v>
      </c>
      <c r="U40" s="7"/>
      <c r="V40" s="14">
        <v>2.0</v>
      </c>
      <c r="W40" s="13" t="s">
        <v>27</v>
      </c>
      <c r="X40" s="13" t="s">
        <v>29</v>
      </c>
      <c r="Y40" s="7" t="str">
        <f t="shared" si="17"/>
        <v>2|Blaine</v>
      </c>
      <c r="Z40" s="7"/>
      <c r="AA40" s="7"/>
      <c r="AB40" s="7"/>
      <c r="AC40" s="7"/>
      <c r="AD40" s="7"/>
    </row>
    <row r="41">
      <c r="A41" s="8">
        <v>4.04</v>
      </c>
      <c r="B41" s="9">
        <v>1672.0</v>
      </c>
      <c r="C41" s="10">
        <f t="shared" si="2"/>
        <v>2.75563629</v>
      </c>
      <c r="D41" s="10">
        <f t="shared" si="3"/>
        <v>3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5</v>
      </c>
      <c r="J41" s="10">
        <f t="shared" si="6"/>
        <v>0.5112725794</v>
      </c>
      <c r="K41" s="10">
        <f t="shared" si="10"/>
        <v>6</v>
      </c>
      <c r="L41" s="11">
        <f t="shared" si="7"/>
        <v>3</v>
      </c>
      <c r="M41" s="7"/>
      <c r="N41" s="7"/>
      <c r="O41" s="4">
        <v>12.0</v>
      </c>
      <c r="P41" s="5" t="s">
        <v>37</v>
      </c>
      <c r="Q41" s="7"/>
      <c r="R41" s="4">
        <v>1.0</v>
      </c>
      <c r="S41" s="7"/>
      <c r="T41" s="7" t="str">
        <f t="shared" si="16"/>
        <v>Joel</v>
      </c>
      <c r="U41" s="7"/>
      <c r="V41" s="14">
        <v>2.0</v>
      </c>
      <c r="W41" s="13" t="s">
        <v>36</v>
      </c>
      <c r="X41" s="13" t="s">
        <v>29</v>
      </c>
      <c r="Y41" s="7" t="str">
        <f t="shared" si="17"/>
        <v>2|Roy</v>
      </c>
      <c r="Z41" s="7"/>
      <c r="AA41" s="7"/>
      <c r="AB41" s="7"/>
      <c r="AC41" s="7"/>
      <c r="AD41" s="7"/>
    </row>
    <row r="42">
      <c r="A42" s="8">
        <v>4.05</v>
      </c>
      <c r="B42" s="13">
        <v>1619.0</v>
      </c>
      <c r="C42" s="10">
        <f t="shared" si="2"/>
        <v>2.485574312</v>
      </c>
      <c r="D42" s="10">
        <f t="shared" si="3"/>
        <v>2.5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0.9711486246</v>
      </c>
      <c r="K42" s="10">
        <f t="shared" si="10"/>
        <v>5</v>
      </c>
      <c r="L42" s="11">
        <f t="shared" si="7"/>
        <v>2.5</v>
      </c>
      <c r="M42" s="7"/>
      <c r="N42" s="7"/>
      <c r="O42" s="7"/>
      <c r="P42" s="7"/>
      <c r="Q42" s="7"/>
      <c r="R42" s="7"/>
      <c r="S42" s="7"/>
      <c r="T42" s="7"/>
      <c r="U42" s="7"/>
      <c r="V42" s="14">
        <v>2.0</v>
      </c>
      <c r="W42" s="13" t="s">
        <v>30</v>
      </c>
      <c r="X42" s="13" t="s">
        <v>29</v>
      </c>
      <c r="Y42" s="7" t="str">
        <f t="shared" si="17"/>
        <v>2|Collin</v>
      </c>
      <c r="Z42" s="7"/>
      <c r="AA42" s="7"/>
      <c r="AB42" s="7"/>
      <c r="AC42" s="7"/>
      <c r="AD42" s="7"/>
    </row>
    <row r="43">
      <c r="A43" s="8">
        <v>4.06</v>
      </c>
      <c r="B43" s="9">
        <v>1601.0</v>
      </c>
      <c r="C43" s="10">
        <f t="shared" si="2"/>
        <v>2.374909263</v>
      </c>
      <c r="D43" s="10">
        <f t="shared" si="3"/>
        <v>2.5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0.7498185261</v>
      </c>
      <c r="K43" s="10">
        <f t="shared" si="10"/>
        <v>5</v>
      </c>
      <c r="L43" s="11">
        <f t="shared" si="7"/>
        <v>2.5</v>
      </c>
      <c r="M43" s="7"/>
      <c r="N43" s="7"/>
      <c r="O43" s="7"/>
      <c r="P43" s="7"/>
      <c r="Q43" s="7"/>
      <c r="R43" s="7"/>
      <c r="S43" s="7"/>
      <c r="T43" s="7"/>
      <c r="U43" s="7"/>
      <c r="V43" s="14">
        <v>2.0</v>
      </c>
      <c r="W43" s="13" t="s">
        <v>35</v>
      </c>
      <c r="X43" s="13" t="s">
        <v>29</v>
      </c>
      <c r="Y43" s="7" t="str">
        <f t="shared" si="17"/>
        <v>2|Kich</v>
      </c>
      <c r="Z43" s="7"/>
      <c r="AA43" s="7"/>
      <c r="AB43" s="7"/>
      <c r="AC43" s="7"/>
      <c r="AD43" s="7"/>
    </row>
    <row r="44">
      <c r="A44" s="8">
        <v>4.07</v>
      </c>
      <c r="B44" s="9">
        <v>1596.0</v>
      </c>
      <c r="C44" s="10">
        <f t="shared" si="2"/>
        <v>2.309825789</v>
      </c>
      <c r="D44" s="10">
        <f t="shared" si="3"/>
        <v>2.5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0.6196515786</v>
      </c>
      <c r="K44" s="10">
        <f t="shared" si="10"/>
        <v>5</v>
      </c>
      <c r="L44" s="11">
        <f t="shared" si="7"/>
        <v>2.5</v>
      </c>
      <c r="M44" s="7"/>
      <c r="N44" s="7"/>
      <c r="O44" s="5" t="s">
        <v>21</v>
      </c>
      <c r="P44" s="5" t="s">
        <v>9</v>
      </c>
      <c r="Q44" s="5" t="s">
        <v>38</v>
      </c>
      <c r="R44" s="5" t="s">
        <v>17</v>
      </c>
      <c r="S44" s="7"/>
      <c r="T44" s="7"/>
      <c r="U44" s="7"/>
      <c r="V44" s="14">
        <v>2.0</v>
      </c>
      <c r="W44" s="13" t="s">
        <v>34</v>
      </c>
      <c r="X44" s="13" t="s">
        <v>29</v>
      </c>
      <c r="Y44" s="7" t="str">
        <f t="shared" si="17"/>
        <v>2|Ty</v>
      </c>
      <c r="Z44" s="7"/>
      <c r="AA44" s="7"/>
      <c r="AB44" s="7"/>
      <c r="AC44" s="7"/>
      <c r="AD44" s="7"/>
    </row>
    <row r="45">
      <c r="A45" s="8">
        <v>4.08</v>
      </c>
      <c r="B45" s="9">
        <v>1593.0</v>
      </c>
      <c r="C45" s="10">
        <f t="shared" si="2"/>
        <v>2.250774638</v>
      </c>
      <c r="D45" s="10">
        <f t="shared" si="3"/>
        <v>2.5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4</v>
      </c>
      <c r="J45" s="10">
        <f t="shared" si="6"/>
        <v>0.5015492767</v>
      </c>
      <c r="K45" s="10">
        <f t="shared" si="10"/>
        <v>5</v>
      </c>
      <c r="L45" s="11">
        <f t="shared" si="7"/>
        <v>2.5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118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2.0</v>
      </c>
      <c r="W45" s="13" t="s">
        <v>31</v>
      </c>
      <c r="X45" s="13" t="s">
        <v>29</v>
      </c>
      <c r="Y45" s="7" t="str">
        <f t="shared" si="17"/>
        <v>2|Joey</v>
      </c>
      <c r="Z45" s="7"/>
      <c r="AA45" s="7"/>
      <c r="AB45" s="7"/>
      <c r="AC45" s="7"/>
      <c r="AD45" s="7"/>
    </row>
    <row r="46">
      <c r="A46" s="8">
        <v>4.09</v>
      </c>
      <c r="B46" s="9">
        <v>1506.0</v>
      </c>
      <c r="C46" s="10">
        <f t="shared" si="2"/>
        <v>1.998642088</v>
      </c>
      <c r="D46" s="10">
        <f t="shared" si="3"/>
        <v>2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0.9972841761</v>
      </c>
      <c r="K46" s="10">
        <f t="shared" si="10"/>
        <v>4</v>
      </c>
      <c r="L46" s="11">
        <f t="shared" si="7"/>
        <v>2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118</v>
      </c>
      <c r="R46" s="7" t="str">
        <f t="shared" si="21"/>
        <v>Jason</v>
      </c>
      <c r="S46" s="7"/>
      <c r="T46" s="7"/>
      <c r="U46" s="7"/>
      <c r="V46" s="14">
        <v>2.0</v>
      </c>
      <c r="W46" s="13" t="s">
        <v>28</v>
      </c>
      <c r="X46" s="13" t="s">
        <v>29</v>
      </c>
      <c r="Y46" s="7" t="str">
        <f t="shared" si="17"/>
        <v>2|Brent</v>
      </c>
      <c r="Z46" s="7"/>
      <c r="AA46" s="7"/>
      <c r="AB46" s="7"/>
      <c r="AC46" s="7"/>
      <c r="AD46" s="7"/>
    </row>
    <row r="47">
      <c r="A47" s="8">
        <v>4.1</v>
      </c>
      <c r="B47" s="9">
        <v>1502.0</v>
      </c>
      <c r="C47" s="10">
        <f t="shared" si="2"/>
        <v>1.917905501</v>
      </c>
      <c r="D47" s="10">
        <f t="shared" si="3"/>
        <v>2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0.8358110019</v>
      </c>
      <c r="K47" s="10">
        <f t="shared" si="10"/>
        <v>4</v>
      </c>
      <c r="L47" s="11">
        <f t="shared" si="7"/>
        <v>2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90</v>
      </c>
      <c r="R47" s="7" t="str">
        <f t="shared" si="21"/>
        <v>Jason</v>
      </c>
      <c r="S47" s="7"/>
      <c r="T47" s="7"/>
      <c r="U47" s="7"/>
      <c r="V47" s="14">
        <v>3.0</v>
      </c>
      <c r="W47" s="13" t="s">
        <v>36</v>
      </c>
      <c r="X47" s="13" t="s">
        <v>29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1359.0</v>
      </c>
      <c r="C48" s="10">
        <f t="shared" si="2"/>
        <v>1.82614015</v>
      </c>
      <c r="D48" s="10">
        <f t="shared" si="3"/>
        <v>2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0.6522802998</v>
      </c>
      <c r="K48" s="10">
        <f t="shared" si="10"/>
        <v>4</v>
      </c>
      <c r="L48" s="11">
        <f t="shared" si="7"/>
        <v>2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83</v>
      </c>
      <c r="R48" s="7" t="str">
        <f t="shared" si="21"/>
        <v>MaKayla</v>
      </c>
      <c r="S48" s="7"/>
      <c r="T48" s="7"/>
      <c r="U48" s="7"/>
      <c r="V48" s="14">
        <v>3.0</v>
      </c>
      <c r="W48" s="13" t="s">
        <v>35</v>
      </c>
      <c r="X48" s="13" t="s">
        <v>29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1327.0</v>
      </c>
      <c r="C49" s="10">
        <f t="shared" si="2"/>
        <v>1.780275243</v>
      </c>
      <c r="D49" s="10">
        <f t="shared" si="3"/>
        <v>2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0.5605504851</v>
      </c>
      <c r="K49" s="10">
        <f t="shared" si="10"/>
        <v>4</v>
      </c>
      <c r="L49" s="11">
        <f t="shared" si="7"/>
        <v>2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72.5</v>
      </c>
      <c r="R49" s="7" t="str">
        <f t="shared" si="21"/>
        <v>Collin</v>
      </c>
      <c r="S49" s="7"/>
      <c r="T49" s="7"/>
      <c r="U49" s="7"/>
      <c r="V49" s="14">
        <v>3.0</v>
      </c>
      <c r="W49" s="13" t="s">
        <v>28</v>
      </c>
      <c r="X49" s="13" t="s">
        <v>29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1326.0</v>
      </c>
      <c r="C50" s="10">
        <f t="shared" si="2"/>
        <v>2.747755044</v>
      </c>
      <c r="D50" s="10">
        <f t="shared" si="3"/>
        <v>2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0.4955100887</v>
      </c>
      <c r="K50" s="10">
        <f t="shared" si="10"/>
        <v>4</v>
      </c>
      <c r="L50" s="11">
        <f t="shared" si="7"/>
        <v>2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65.5</v>
      </c>
      <c r="R50" s="7" t="str">
        <f t="shared" si="21"/>
        <v>Roy</v>
      </c>
      <c r="S50" s="7"/>
      <c r="T50" s="7"/>
      <c r="U50" s="7"/>
      <c r="V50" s="14">
        <v>3.0</v>
      </c>
      <c r="W50" s="13" t="s">
        <v>25</v>
      </c>
      <c r="X50" s="13" t="s">
        <v>29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1314.0</v>
      </c>
      <c r="C51" s="10">
        <f t="shared" si="2"/>
        <v>2.714787569</v>
      </c>
      <c r="D51" s="10">
        <f t="shared" si="3"/>
        <v>2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0.4295751377</v>
      </c>
      <c r="K51" s="10">
        <f t="shared" si="10"/>
        <v>4</v>
      </c>
      <c r="L51" s="11">
        <f t="shared" si="7"/>
        <v>2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60.5</v>
      </c>
      <c r="R51" s="7" t="str">
        <f t="shared" si="21"/>
        <v>Kich</v>
      </c>
      <c r="S51" s="7"/>
      <c r="T51" s="7"/>
      <c r="U51" s="7"/>
      <c r="V51" s="14">
        <v>4.0</v>
      </c>
      <c r="W51" s="13" t="s">
        <v>36</v>
      </c>
      <c r="X51" s="13" t="s">
        <v>29</v>
      </c>
      <c r="Y51" s="7" t="str">
        <f t="shared" si="17"/>
        <v>4|Roy</v>
      </c>
      <c r="Z51" s="7"/>
      <c r="AA51" s="7"/>
      <c r="AB51" s="7"/>
      <c r="AC51" s="7"/>
      <c r="AD51" s="7"/>
    </row>
    <row r="52">
      <c r="A52" s="8">
        <v>5.03</v>
      </c>
      <c r="B52" s="9">
        <v>1300.0</v>
      </c>
      <c r="C52" s="10">
        <f t="shared" si="2"/>
        <v>2.684100824</v>
      </c>
      <c r="D52" s="10">
        <f t="shared" si="3"/>
        <v>2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0.3682016476</v>
      </c>
      <c r="K52" s="10">
        <f t="shared" si="10"/>
        <v>4</v>
      </c>
      <c r="L52" s="11">
        <f t="shared" si="7"/>
        <v>2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55</v>
      </c>
      <c r="R52" s="7" t="str">
        <f t="shared" si="21"/>
        <v>MaKayla</v>
      </c>
      <c r="S52" s="7"/>
      <c r="T52" s="7"/>
      <c r="U52" s="7"/>
      <c r="V52" s="14">
        <v>4.0</v>
      </c>
      <c r="W52" s="13" t="s">
        <v>30</v>
      </c>
      <c r="X52" s="13" t="s">
        <v>29</v>
      </c>
      <c r="Y52" s="7" t="str">
        <f t="shared" si="17"/>
        <v>4|Collin</v>
      </c>
      <c r="Z52" s="7"/>
      <c r="AA52" s="7"/>
      <c r="AB52" s="7"/>
      <c r="AC52" s="7"/>
      <c r="AD52" s="7"/>
    </row>
    <row r="53">
      <c r="A53" s="8">
        <v>5.04</v>
      </c>
      <c r="B53" s="9">
        <v>1292.0</v>
      </c>
      <c r="C53" s="10">
        <f t="shared" si="2"/>
        <v>2.65741505</v>
      </c>
      <c r="D53" s="10">
        <f t="shared" si="3"/>
        <v>2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5</v>
      </c>
      <c r="J53" s="10">
        <f t="shared" si="6"/>
        <v>0.314830101</v>
      </c>
      <c r="K53" s="10">
        <f t="shared" si="10"/>
        <v>4</v>
      </c>
      <c r="L53" s="11">
        <f t="shared" si="7"/>
        <v>2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50.5</v>
      </c>
      <c r="R53" s="7" t="str">
        <f t="shared" si="21"/>
        <v>Roy</v>
      </c>
      <c r="S53" s="7"/>
      <c r="T53" s="7"/>
      <c r="U53" s="7"/>
      <c r="V53" s="14">
        <v>4.0</v>
      </c>
      <c r="W53" s="13" t="s">
        <v>32</v>
      </c>
      <c r="X53" s="13" t="s">
        <v>29</v>
      </c>
      <c r="Y53" s="7" t="str">
        <f t="shared" si="17"/>
        <v>4|Eric</v>
      </c>
      <c r="Z53" s="7"/>
      <c r="AA53" s="7"/>
      <c r="AB53" s="7"/>
      <c r="AC53" s="7"/>
      <c r="AD53" s="7"/>
    </row>
    <row r="54">
      <c r="A54" s="8">
        <v>5.05</v>
      </c>
      <c r="B54" s="9">
        <v>1291.0</v>
      </c>
      <c r="C54" s="10">
        <f t="shared" si="2"/>
        <v>2.634403161</v>
      </c>
      <c r="D54" s="10">
        <f t="shared" si="3"/>
        <v>2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5</v>
      </c>
      <c r="J54" s="10">
        <f t="shared" si="6"/>
        <v>0.2688063222</v>
      </c>
      <c r="K54" s="10">
        <f t="shared" si="10"/>
        <v>4</v>
      </c>
      <c r="L54" s="11">
        <f t="shared" si="7"/>
        <v>2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45</v>
      </c>
      <c r="R54" s="7" t="str">
        <f t="shared" si="21"/>
        <v>Joey</v>
      </c>
      <c r="S54" s="7"/>
      <c r="T54" s="7"/>
      <c r="U54" s="7"/>
      <c r="V54" s="14">
        <v>4.0</v>
      </c>
      <c r="W54" s="13" t="s">
        <v>33</v>
      </c>
      <c r="X54" s="13" t="s">
        <v>29</v>
      </c>
      <c r="Y54" s="7" t="str">
        <f t="shared" si="17"/>
        <v>4|MaKayla</v>
      </c>
      <c r="Z54" s="7"/>
      <c r="AA54" s="7"/>
      <c r="AB54" s="7"/>
      <c r="AC54" s="7"/>
      <c r="AD54" s="7"/>
    </row>
    <row r="55">
      <c r="A55" s="8">
        <v>5.06</v>
      </c>
      <c r="B55" s="9">
        <v>1285.0</v>
      </c>
      <c r="C55" s="10">
        <f t="shared" si="2"/>
        <v>2.612195693</v>
      </c>
      <c r="D55" s="10">
        <f t="shared" si="3"/>
        <v>2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5</v>
      </c>
      <c r="J55" s="10">
        <f t="shared" si="6"/>
        <v>0.2243913851</v>
      </c>
      <c r="K55" s="10">
        <f t="shared" si="10"/>
        <v>4</v>
      </c>
      <c r="L55" s="11">
        <f t="shared" si="7"/>
        <v>2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40.5</v>
      </c>
      <c r="R55" s="7" t="str">
        <f t="shared" si="21"/>
        <v>Ty</v>
      </c>
      <c r="S55" s="7"/>
      <c r="T55" s="7"/>
      <c r="U55" s="7"/>
      <c r="V55" s="14">
        <v>4.0</v>
      </c>
      <c r="W55" s="13" t="s">
        <v>28</v>
      </c>
      <c r="X55" s="13" t="s">
        <v>29</v>
      </c>
      <c r="Y55" s="7" t="str">
        <f t="shared" si="17"/>
        <v>4|Brent</v>
      </c>
      <c r="Z55" s="7"/>
      <c r="AA55" s="7"/>
      <c r="AB55" s="7"/>
      <c r="AC55" s="7"/>
      <c r="AD55" s="7"/>
    </row>
    <row r="56">
      <c r="A56" s="8">
        <v>5.07</v>
      </c>
      <c r="B56" s="9">
        <v>1279.0</v>
      </c>
      <c r="C56" s="10">
        <f t="shared" si="2"/>
        <v>2.591783799</v>
      </c>
      <c r="D56" s="10">
        <f t="shared" si="3"/>
        <v>2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5</v>
      </c>
      <c r="J56" s="10">
        <f t="shared" si="6"/>
        <v>0.1835675977</v>
      </c>
      <c r="K56" s="10">
        <f t="shared" si="10"/>
        <v>4</v>
      </c>
      <c r="L56" s="11">
        <f t="shared" si="7"/>
        <v>2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36</v>
      </c>
      <c r="R56" s="7" t="str">
        <f t="shared" si="21"/>
        <v>Jason</v>
      </c>
      <c r="S56" s="7"/>
      <c r="T56" s="7"/>
      <c r="U56" s="7"/>
      <c r="V56" s="14">
        <v>4.0</v>
      </c>
      <c r="W56" s="13" t="s">
        <v>25</v>
      </c>
      <c r="X56" s="13" t="s">
        <v>29</v>
      </c>
      <c r="Y56" s="7" t="str">
        <f t="shared" si="17"/>
        <v>4|Ed</v>
      </c>
      <c r="Z56" s="7"/>
      <c r="AA56" s="7"/>
      <c r="AB56" s="7"/>
      <c r="AC56" s="7"/>
      <c r="AD56" s="7"/>
    </row>
    <row r="57">
      <c r="A57" s="8">
        <v>5.08</v>
      </c>
      <c r="B57" s="9">
        <v>1262.0</v>
      </c>
      <c r="C57" s="10">
        <f t="shared" si="2"/>
        <v>2.571188089</v>
      </c>
      <c r="D57" s="10">
        <f t="shared" si="3"/>
        <v>2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5</v>
      </c>
      <c r="J57" s="10">
        <f t="shared" si="6"/>
        <v>0.1423761789</v>
      </c>
      <c r="K57" s="10">
        <f t="shared" si="10"/>
        <v>4</v>
      </c>
      <c r="L57" s="11">
        <f t="shared" si="7"/>
        <v>2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30.5</v>
      </c>
      <c r="R57" s="7" t="str">
        <f t="shared" si="21"/>
        <v>Joel</v>
      </c>
      <c r="S57" s="7"/>
      <c r="T57" s="7"/>
      <c r="U57" s="7"/>
      <c r="V57" s="14">
        <v>5.0</v>
      </c>
      <c r="W57" s="13" t="s">
        <v>32</v>
      </c>
      <c r="X57" s="13" t="s">
        <v>29</v>
      </c>
      <c r="Y57" s="7" t="str">
        <f t="shared" si="17"/>
        <v>5|Eric</v>
      </c>
      <c r="Z57" s="7"/>
      <c r="AA57" s="7"/>
      <c r="AB57" s="7"/>
      <c r="AC57" s="7"/>
      <c r="AD57" s="7"/>
    </row>
    <row r="58">
      <c r="A58" s="8">
        <v>5.09</v>
      </c>
      <c r="B58" s="9">
        <v>1236.0</v>
      </c>
      <c r="C58" s="10">
        <f t="shared" si="2"/>
        <v>2.551006543</v>
      </c>
      <c r="D58" s="10">
        <f t="shared" si="3"/>
        <v>2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5</v>
      </c>
      <c r="J58" s="10">
        <f t="shared" si="6"/>
        <v>0.1020130854</v>
      </c>
      <c r="K58" s="10">
        <f t="shared" si="10"/>
        <v>4</v>
      </c>
      <c r="L58" s="11">
        <f t="shared" si="7"/>
        <v>2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30.5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4|Jason</v>
      </c>
      <c r="Z58" s="7"/>
      <c r="AA58" s="7"/>
      <c r="AB58" s="7"/>
      <c r="AC58" s="7"/>
      <c r="AD58" s="7"/>
    </row>
    <row r="59">
      <c r="A59" s="8">
        <v>5.1</v>
      </c>
      <c r="B59" s="9">
        <v>1231.0</v>
      </c>
      <c r="C59" s="10">
        <f t="shared" si="2"/>
        <v>2.535668191</v>
      </c>
      <c r="D59" s="10">
        <f t="shared" si="3"/>
        <v>2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5</v>
      </c>
      <c r="J59" s="10">
        <f t="shared" si="6"/>
        <v>0.0713363818</v>
      </c>
      <c r="K59" s="10">
        <f t="shared" si="10"/>
        <v>4</v>
      </c>
      <c r="L59" s="11">
        <f t="shared" si="7"/>
        <v>2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26</v>
      </c>
      <c r="R59" s="7" t="str">
        <f t="shared" si="21"/>
        <v>Collin</v>
      </c>
      <c r="S59" s="7"/>
      <c r="T59" s="7"/>
      <c r="U59" s="7"/>
      <c r="V59" s="12">
        <v>6.0</v>
      </c>
      <c r="W59" s="12" t="s">
        <v>32</v>
      </c>
      <c r="X59" s="13" t="s">
        <v>31</v>
      </c>
      <c r="Y59" s="7" t="str">
        <f t="shared" si="17"/>
        <v>6|Eric</v>
      </c>
      <c r="Z59" s="7"/>
      <c r="AA59" s="7"/>
      <c r="AB59" s="7"/>
      <c r="AC59" s="7"/>
      <c r="AD59" s="7"/>
    </row>
    <row r="60">
      <c r="A60" s="8">
        <v>5.11</v>
      </c>
      <c r="B60" s="9">
        <v>1229.0</v>
      </c>
      <c r="C60" s="10">
        <f t="shared" si="2"/>
        <v>2.521956509</v>
      </c>
      <c r="D60" s="10">
        <f t="shared" si="3"/>
        <v>2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5</v>
      </c>
      <c r="J60" s="10">
        <f t="shared" si="6"/>
        <v>0.04391301772</v>
      </c>
      <c r="K60" s="10">
        <f t="shared" si="10"/>
        <v>4</v>
      </c>
      <c r="L60" s="11">
        <f t="shared" si="7"/>
        <v>2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23.5</v>
      </c>
      <c r="R60" s="7" t="str">
        <f t="shared" si="21"/>
        <v>Jason</v>
      </c>
      <c r="S60" s="7"/>
      <c r="T60" s="7"/>
      <c r="U60" s="7"/>
      <c r="V60" s="12">
        <v>6.0</v>
      </c>
      <c r="W60" s="12" t="s">
        <v>30</v>
      </c>
      <c r="X60" s="13" t="s">
        <v>35</v>
      </c>
      <c r="Y60" s="7" t="str">
        <f t="shared" si="17"/>
        <v>6|Collin</v>
      </c>
      <c r="Z60" s="7"/>
      <c r="AA60" s="7"/>
      <c r="AB60" s="7"/>
      <c r="AC60" s="7"/>
      <c r="AD60" s="7"/>
    </row>
    <row r="61">
      <c r="A61" s="8">
        <v>5.12</v>
      </c>
      <c r="B61" s="9">
        <v>1226.0</v>
      </c>
      <c r="C61" s="10">
        <f t="shared" si="2"/>
        <v>2.509197356</v>
      </c>
      <c r="D61" s="10">
        <f t="shared" si="3"/>
        <v>2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5</v>
      </c>
      <c r="J61" s="10">
        <f t="shared" si="6"/>
        <v>0.01839471107</v>
      </c>
      <c r="K61" s="10">
        <f t="shared" si="10"/>
        <v>4</v>
      </c>
      <c r="L61" s="11">
        <f t="shared" si="7"/>
        <v>2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21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34</v>
      </c>
      <c r="X61" s="13" t="s">
        <v>33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1220.0</v>
      </c>
      <c r="C62" s="10">
        <f t="shared" si="2"/>
        <v>1.136423525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0.2728470495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18.5</v>
      </c>
      <c r="R62" s="7" t="str">
        <f t="shared" si="21"/>
        <v>Collin</v>
      </c>
      <c r="S62" s="7"/>
      <c r="T62" s="7" t="s">
        <v>39</v>
      </c>
      <c r="U62" s="7" t="s">
        <v>40</v>
      </c>
      <c r="V62" s="13">
        <v>1.0</v>
      </c>
      <c r="W62" s="13" t="s">
        <v>36</v>
      </c>
      <c r="X62" s="13" t="s">
        <v>33</v>
      </c>
      <c r="Y62" s="7" t="str">
        <f t="shared" si="17"/>
        <v>1|Roy</v>
      </c>
      <c r="Z62" s="7"/>
      <c r="AA62" s="7"/>
      <c r="AB62" s="7"/>
      <c r="AC62" s="7"/>
      <c r="AD62" s="7"/>
    </row>
    <row r="63">
      <c r="A63" s="8">
        <v>6.02</v>
      </c>
      <c r="B63" s="9">
        <v>1171.0</v>
      </c>
      <c r="C63" s="10">
        <f t="shared" si="2"/>
        <v>1.120878791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0.2417575811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16.5</v>
      </c>
      <c r="R63" s="7" t="str">
        <f t="shared" si="21"/>
        <v>Jason</v>
      </c>
      <c r="S63" s="7"/>
      <c r="T63" s="5" t="s">
        <v>29</v>
      </c>
      <c r="U63" s="10">
        <f t="shared" ref="U63:U74" si="22">SUMIF($R$45:$R$116, T63, $Q$45:$Q$116)</f>
        <v>416.5</v>
      </c>
      <c r="V63" s="13">
        <v>1.0</v>
      </c>
      <c r="W63" s="13" t="s">
        <v>32</v>
      </c>
      <c r="X63" s="13" t="s">
        <v>36</v>
      </c>
      <c r="Y63" s="7" t="str">
        <f t="shared" si="17"/>
        <v>1|Eric</v>
      </c>
      <c r="Z63" s="7"/>
      <c r="AA63" s="7"/>
      <c r="AB63" s="7"/>
      <c r="AC63" s="7"/>
      <c r="AD63" s="7"/>
    </row>
    <row r="64">
      <c r="A64" s="8">
        <v>6.03</v>
      </c>
      <c r="B64" s="9">
        <v>1154.0</v>
      </c>
      <c r="C64" s="10">
        <f t="shared" si="2"/>
        <v>1.109966896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0.2199337916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15</v>
      </c>
      <c r="R64" s="7" t="str">
        <f t="shared" si="21"/>
        <v>Jason</v>
      </c>
      <c r="S64" s="7"/>
      <c r="T64" s="7" t="s">
        <v>37</v>
      </c>
      <c r="U64" s="10">
        <f t="shared" si="22"/>
        <v>163.5</v>
      </c>
      <c r="V64" s="12">
        <v>1.0</v>
      </c>
      <c r="W64" s="12" t="s">
        <v>33</v>
      </c>
      <c r="X64" s="13" t="s">
        <v>36</v>
      </c>
      <c r="Y64" s="7" t="str">
        <f t="shared" si="17"/>
        <v>1|MaKayla</v>
      </c>
      <c r="Z64" s="7"/>
      <c r="AA64" s="7"/>
      <c r="AB64" s="7"/>
      <c r="AC64" s="7"/>
      <c r="AD64" s="7"/>
    </row>
    <row r="65">
      <c r="A65" s="8">
        <v>6.04</v>
      </c>
      <c r="B65" s="9">
        <v>1142.0</v>
      </c>
      <c r="C65" s="10">
        <f t="shared" si="2"/>
        <v>1.100457987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0.2009159739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14</v>
      </c>
      <c r="R65" s="7" t="str">
        <f t="shared" si="21"/>
        <v>MaKayla</v>
      </c>
      <c r="S65" s="7"/>
      <c r="T65" s="7" t="s">
        <v>33</v>
      </c>
      <c r="U65" s="10">
        <f t="shared" si="22"/>
        <v>155</v>
      </c>
      <c r="V65" s="13">
        <v>3.0</v>
      </c>
      <c r="W65" s="13" t="s">
        <v>32</v>
      </c>
      <c r="X65" s="13" t="s">
        <v>36</v>
      </c>
      <c r="Y65" s="7" t="str">
        <f t="shared" si="17"/>
        <v>3|Eric</v>
      </c>
      <c r="Z65" s="7"/>
      <c r="AA65" s="7"/>
      <c r="AB65" s="7"/>
      <c r="AC65" s="7"/>
      <c r="AD65" s="7"/>
    </row>
    <row r="66">
      <c r="A66" s="8">
        <v>6.05</v>
      </c>
      <c r="B66" s="9">
        <v>1140.0</v>
      </c>
      <c r="C66" s="10">
        <f t="shared" si="2"/>
        <v>1.092573093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0.185146187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12.5</v>
      </c>
      <c r="R66" s="7" t="str">
        <f t="shared" si="21"/>
        <v>Jason</v>
      </c>
      <c r="S66" s="7"/>
      <c r="T66" s="7" t="s">
        <v>30</v>
      </c>
      <c r="U66" s="10">
        <f t="shared" si="22"/>
        <v>139.5</v>
      </c>
      <c r="V66" s="14">
        <v>1.0</v>
      </c>
      <c r="W66" s="13" t="s">
        <v>28</v>
      </c>
      <c r="X66" s="13" t="s">
        <v>34</v>
      </c>
      <c r="Y66" s="7" t="str">
        <f t="shared" si="17"/>
        <v>1|Brent</v>
      </c>
      <c r="Z66" s="7"/>
      <c r="AA66" s="7"/>
      <c r="AB66" s="7"/>
      <c r="AC66" s="7"/>
      <c r="AD66" s="7"/>
    </row>
    <row r="67">
      <c r="A67" s="8">
        <v>6.06</v>
      </c>
      <c r="B67" s="9">
        <v>1126.0</v>
      </c>
      <c r="C67" s="10">
        <f t="shared" si="2"/>
        <v>1.084407161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0.1688143228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10.5</v>
      </c>
      <c r="R67" s="7" t="str">
        <f t="shared" si="21"/>
        <v>Jason</v>
      </c>
      <c r="S67" s="7"/>
      <c r="T67" s="7" t="s">
        <v>36</v>
      </c>
      <c r="U67" s="10">
        <f t="shared" si="22"/>
        <v>125</v>
      </c>
      <c r="V67" s="14">
        <v>5.0</v>
      </c>
      <c r="W67" s="13" t="s">
        <v>29</v>
      </c>
      <c r="X67" s="13" t="s">
        <v>34</v>
      </c>
      <c r="Y67" s="7" t="str">
        <f t="shared" si="17"/>
        <v>5|Jason</v>
      </c>
      <c r="Z67" s="7"/>
      <c r="AA67" s="7"/>
      <c r="AB67" s="7"/>
      <c r="AC67" s="7"/>
      <c r="AD67" s="7"/>
    </row>
    <row r="68">
      <c r="A68" s="8">
        <v>6.07</v>
      </c>
      <c r="B68" s="9">
        <v>1096.0</v>
      </c>
      <c r="C68" s="10">
        <f t="shared" si="2"/>
        <v>1.075842375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0.1516847502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35</v>
      </c>
      <c r="U68" s="10">
        <f t="shared" si="22"/>
        <v>67</v>
      </c>
      <c r="V68" s="14">
        <v>6.0</v>
      </c>
      <c r="W68" s="13" t="s">
        <v>29</v>
      </c>
      <c r="X68" s="13" t="s">
        <v>34</v>
      </c>
      <c r="Y68" s="7" t="str">
        <f t="shared" si="17"/>
        <v>6|Jason</v>
      </c>
      <c r="Z68" s="7"/>
      <c r="AA68" s="7"/>
      <c r="AB68" s="7"/>
      <c r="AC68" s="7"/>
      <c r="AD68" s="7"/>
    </row>
    <row r="69">
      <c r="A69" s="8">
        <v>6.08</v>
      </c>
      <c r="B69" s="13">
        <v>1026.0</v>
      </c>
      <c r="C69" s="10">
        <f t="shared" si="2"/>
        <v>1.065540348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0.1310806959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8.75</v>
      </c>
      <c r="R69" s="7" t="str">
        <f t="shared" si="21"/>
        <v>Joel</v>
      </c>
      <c r="S69" s="7"/>
      <c r="T69" s="7" t="s">
        <v>31</v>
      </c>
      <c r="U69" s="10">
        <f t="shared" si="22"/>
        <v>54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1021.0</v>
      </c>
      <c r="C70" s="10">
        <f t="shared" si="2"/>
        <v>1.060206964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0.1204139289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8.75</v>
      </c>
      <c r="R70" s="7" t="str">
        <f t="shared" si="21"/>
        <v>Blaine</v>
      </c>
      <c r="S70" s="7"/>
      <c r="T70" s="7" t="s">
        <v>34</v>
      </c>
      <c r="U70" s="10">
        <f t="shared" si="22"/>
        <v>54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1011.0</v>
      </c>
      <c r="C71" s="10">
        <f t="shared" si="2"/>
        <v>1.05503404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0.1100680797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7.5</v>
      </c>
      <c r="R71" s="7" t="str">
        <f t="shared" si="21"/>
        <v>Jason</v>
      </c>
      <c r="S71" s="7"/>
      <c r="T71" s="7" t="s">
        <v>27</v>
      </c>
      <c r="U71" s="10">
        <f t="shared" si="22"/>
        <v>19.5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1004.0</v>
      </c>
      <c r="C72" s="10">
        <f t="shared" si="2"/>
        <v>1.050451361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0.1009027212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7</v>
      </c>
      <c r="R72" s="7" t="str">
        <f t="shared" si="21"/>
        <v>Jason</v>
      </c>
      <c r="S72" s="7"/>
      <c r="T72" s="7" t="s">
        <v>25</v>
      </c>
      <c r="U72" s="10">
        <f t="shared" si="22"/>
        <v>6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946.0</v>
      </c>
      <c r="C73" s="10">
        <f t="shared" si="2"/>
        <v>1.043882257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0.08776451406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6.5</v>
      </c>
      <c r="R73" s="7" t="str">
        <f t="shared" si="21"/>
        <v>Collin</v>
      </c>
      <c r="S73" s="7"/>
      <c r="T73" s="7" t="s">
        <v>32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B74" s="9">
        <v>836.0</v>
      </c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6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>
        <v>786.0</v>
      </c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B76" s="9">
        <v>577.0</v>
      </c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5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>
        <v>542.0</v>
      </c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4.5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>
        <v>449.0</v>
      </c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</v>
      </c>
      <c r="R78" s="7" t="str">
        <f t="shared" si="21"/>
        <v>Joey</v>
      </c>
      <c r="S78" s="7"/>
      <c r="T78" s="7"/>
      <c r="U78" s="7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>
        <v>351.0</v>
      </c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4</v>
      </c>
      <c r="R79" s="7" t="str">
        <f t="shared" si="21"/>
        <v>Jason</v>
      </c>
      <c r="S79" s="7"/>
      <c r="T79" s="7"/>
      <c r="U79" s="7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>
        <v>310.0</v>
      </c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3.5</v>
      </c>
      <c r="R80" s="7" t="str">
        <f t="shared" si="21"/>
        <v>Jason</v>
      </c>
      <c r="S80" s="7"/>
      <c r="T80" s="7"/>
      <c r="U80" s="7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>
        <v>243.0</v>
      </c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3.25</v>
      </c>
      <c r="R81" s="7" t="str">
        <f t="shared" si="21"/>
        <v>Joel</v>
      </c>
      <c r="S81" s="7"/>
      <c r="T81" s="7"/>
      <c r="U81" s="7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>
        <v>214.0</v>
      </c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3.25</v>
      </c>
      <c r="R82" s="7" t="str">
        <f t="shared" si="21"/>
        <v>Blaine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>
        <v>201.0</v>
      </c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3</v>
      </c>
      <c r="R83" s="7" t="str">
        <f t="shared" si="21"/>
        <v>Joey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>
        <v>157.0</v>
      </c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3</v>
      </c>
      <c r="R84" s="7" t="str">
        <f t="shared" si="21"/>
        <v>Jason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9">
        <v>148.0</v>
      </c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2.5</v>
      </c>
      <c r="R85" s="7" t="str">
        <f t="shared" si="21"/>
        <v>Jason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>
        <v>116.0</v>
      </c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2.5</v>
      </c>
      <c r="R86" s="7" t="str">
        <f t="shared" si="21"/>
        <v>Jason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>
        <v>102.0</v>
      </c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2.5</v>
      </c>
      <c r="R87" s="7" t="str">
        <f t="shared" si="21"/>
        <v>Kich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>
        <v>90.0</v>
      </c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2.5</v>
      </c>
      <c r="R88" s="7" t="str">
        <f t="shared" si="21"/>
        <v>Ty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>
        <v>75.0</v>
      </c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2</v>
      </c>
      <c r="R89" s="7" t="str">
        <f t="shared" si="21"/>
        <v>Jason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>
        <v>70.0</v>
      </c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2</v>
      </c>
      <c r="R90" s="7" t="str">
        <f t="shared" si="21"/>
        <v>Collin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>
        <v>58.0</v>
      </c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2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>
        <v>52.0</v>
      </c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2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>
        <v>49.0</v>
      </c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2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>
        <v>46.0</v>
      </c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2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>
        <v>43.0</v>
      </c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2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>
        <v>40.0</v>
      </c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2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>
        <v>36.0</v>
      </c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2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>
        <v>32.0</v>
      </c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2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>
        <v>30.0</v>
      </c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2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>
        <v>16.0</v>
      </c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2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>
        <v>14.0</v>
      </c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2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>
        <v>8.0</v>
      </c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2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2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2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134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41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42</v>
      </c>
      <c r="X139" s="13" t="s">
        <v>43</v>
      </c>
      <c r="Y139" s="13" t="s">
        <v>44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45</v>
      </c>
      <c r="Y140" s="13" t="s">
        <v>46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47</v>
      </c>
      <c r="Y141" s="13" t="s">
        <v>48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49</v>
      </c>
      <c r="Y142" s="13" t="s">
        <v>50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51</v>
      </c>
      <c r="Y143" s="13" t="s">
        <v>48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52</v>
      </c>
      <c r="Y144" s="13" t="s">
        <v>48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53</v>
      </c>
      <c r="Y145" s="13" t="s">
        <v>54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55</v>
      </c>
      <c r="Y146" s="13" t="s">
        <v>56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57</v>
      </c>
      <c r="Y147" s="13" t="s">
        <v>48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58</v>
      </c>
      <c r="Y148" s="13" t="s">
        <v>59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60</v>
      </c>
      <c r="Y149" s="13" t="s">
        <v>54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61</v>
      </c>
      <c r="Y150" s="13" t="s">
        <v>62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63</v>
      </c>
      <c r="Y151" s="13" t="s">
        <v>62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64</v>
      </c>
      <c r="Y152" s="13" t="s">
        <v>54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65</v>
      </c>
      <c r="Y153" s="13" t="s">
        <v>48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66</v>
      </c>
      <c r="Y154" s="13" t="s">
        <v>54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67</v>
      </c>
      <c r="Y155" s="13" t="s">
        <v>46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68</v>
      </c>
      <c r="Y156" s="13" t="s">
        <v>59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69</v>
      </c>
      <c r="Y157" s="13" t="s">
        <v>59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70</v>
      </c>
      <c r="Y158" s="13" t="s">
        <v>46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71</v>
      </c>
      <c r="Y159" s="13" t="s">
        <v>48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72</v>
      </c>
      <c r="Y160" s="13" t="s">
        <v>56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73</v>
      </c>
      <c r="Y161" s="13" t="s">
        <v>50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74</v>
      </c>
      <c r="Y162" s="13" t="s">
        <v>48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75</v>
      </c>
      <c r="Y163" s="13" t="s">
        <v>46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76</v>
      </c>
      <c r="Y164" s="13" t="s">
        <v>46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77</v>
      </c>
      <c r="Y165" s="13" t="s">
        <v>50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78</v>
      </c>
      <c r="Y166" s="13" t="s">
        <v>48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79</v>
      </c>
      <c r="Y167" s="13" t="s">
        <v>54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80</v>
      </c>
      <c r="Y168" s="13" t="s">
        <v>48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81</v>
      </c>
      <c r="Y169" s="13" t="s">
        <v>48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82</v>
      </c>
      <c r="Y170" s="13" t="s">
        <v>46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83</v>
      </c>
      <c r="Y171" s="13" t="s">
        <v>48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84</v>
      </c>
      <c r="Y172" s="13" t="s">
        <v>62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85</v>
      </c>
      <c r="Y173" s="13" t="s">
        <v>54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86</v>
      </c>
      <c r="Y174" s="13" t="s">
        <v>56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87</v>
      </c>
      <c r="Y175" s="13" t="s">
        <v>54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88</v>
      </c>
      <c r="Y176" s="13" t="s">
        <v>48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89</v>
      </c>
      <c r="Y177" s="13" t="s">
        <v>56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90</v>
      </c>
      <c r="Y178" s="13" t="s">
        <v>48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91</v>
      </c>
      <c r="Y179" s="13" t="s">
        <v>48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92</v>
      </c>
      <c r="Y180" s="13" t="s">
        <v>46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93</v>
      </c>
      <c r="Y181" s="13" t="s">
        <v>56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94</v>
      </c>
      <c r="Y182" s="13" t="s">
        <v>50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95</v>
      </c>
      <c r="Y183" s="13" t="s">
        <v>46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96</v>
      </c>
      <c r="Y184" s="13" t="s">
        <v>48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97</v>
      </c>
      <c r="Y185" s="13" t="s">
        <v>48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98</v>
      </c>
      <c r="Y186" s="13" t="s">
        <v>48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99</v>
      </c>
      <c r="Y187" s="13" t="s">
        <v>46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100</v>
      </c>
      <c r="Y188" s="13" t="s">
        <v>50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101</v>
      </c>
      <c r="Y189" s="13" t="s">
        <v>46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102</v>
      </c>
      <c r="Y190" s="13" t="s">
        <v>46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103</v>
      </c>
      <c r="Y191" s="13" t="s">
        <v>56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104</v>
      </c>
      <c r="Y192" s="13" t="s">
        <v>48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105</v>
      </c>
      <c r="Y193" s="13" t="s">
        <v>48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106</v>
      </c>
      <c r="Y194" s="13" t="s">
        <v>46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107</v>
      </c>
      <c r="Y195" s="13" t="s">
        <v>48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108</v>
      </c>
      <c r="Y196" s="13" t="s">
        <v>48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109</v>
      </c>
      <c r="Y197" s="13" t="s">
        <v>48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110</v>
      </c>
      <c r="Y198" s="13" t="s">
        <v>56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111</v>
      </c>
      <c r="Y199" s="13" t="s">
        <v>46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112</v>
      </c>
      <c r="Y200" s="13" t="s">
        <v>56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113</v>
      </c>
      <c r="Y201" s="13" t="s">
        <v>46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114</v>
      </c>
      <c r="Y202" s="13" t="s">
        <v>50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115</v>
      </c>
      <c r="Y203" s="13" t="s">
        <v>50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116</v>
      </c>
      <c r="Y204" s="13" t="s">
        <v>56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117</v>
      </c>
      <c r="Y205" s="13" t="s">
        <v>48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118</v>
      </c>
      <c r="Y206" s="13" t="s">
        <v>46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119</v>
      </c>
      <c r="Y207" s="13" t="s">
        <v>56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120</v>
      </c>
      <c r="Y208" s="13" t="s">
        <v>48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121</v>
      </c>
      <c r="Y209" s="13" t="s">
        <v>48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122</v>
      </c>
      <c r="Y210" s="13" t="s">
        <v>48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123</v>
      </c>
      <c r="Y211" s="13" t="s">
        <v>48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124</v>
      </c>
      <c r="Y212" s="13" t="s">
        <v>50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125</v>
      </c>
      <c r="Y213" s="13" t="s">
        <v>48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126</v>
      </c>
      <c r="Y214" s="13" t="s">
        <v>50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127</v>
      </c>
      <c r="Y215" s="13" t="s">
        <v>48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128</v>
      </c>
      <c r="Y216" s="13" t="s">
        <v>46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129</v>
      </c>
      <c r="Y217" s="13" t="s">
        <v>46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42</v>
      </c>
      <c r="B1" s="9" t="s">
        <v>130</v>
      </c>
      <c r="C1" s="9" t="s">
        <v>131</v>
      </c>
      <c r="D1" s="9" t="s">
        <v>132</v>
      </c>
      <c r="E1" s="9" t="s">
        <v>133</v>
      </c>
      <c r="F1" s="19" t="s">
        <v>134</v>
      </c>
      <c r="G1" s="19" t="s">
        <v>135</v>
      </c>
      <c r="H1" s="19" t="s">
        <v>136</v>
      </c>
      <c r="I1" s="9" t="s">
        <v>137</v>
      </c>
      <c r="K1" s="9" t="s">
        <v>138</v>
      </c>
    </row>
    <row r="2">
      <c r="A2" s="9">
        <v>1.0</v>
      </c>
      <c r="B2" s="13" t="s">
        <v>45</v>
      </c>
      <c r="C2" s="17">
        <v>134.5</v>
      </c>
      <c r="D2" s="9"/>
      <c r="E2" s="9" t="b">
        <v>0</v>
      </c>
      <c r="F2" s="17">
        <f t="shared" ref="F2:F73" si="1">IF($D2&gt;0,"",$C2*$L$14)
</f>
        <v>134.5</v>
      </c>
      <c r="G2" s="17">
        <f t="shared" ref="G2:G73" si="2">IF($D2&gt;0,"",MIN($L$8, $C2*$L$14*(1+($L$11-1)*$L$16)))</f>
        <v>193.1787364</v>
      </c>
      <c r="H2" s="20">
        <f t="shared" ref="H2:H73" si="3">IF($D2&lt;&gt;"","",
   IFERROR(
     MIN($L$8, $C2*$L$14*$L$27),
     ""
   )
)
</f>
        <v>107.6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139</v>
      </c>
      <c r="L2" s="9">
        <v>1200.0</v>
      </c>
    </row>
    <row r="3">
      <c r="A3" s="9">
        <v>2.0</v>
      </c>
      <c r="B3" s="13" t="s">
        <v>49</v>
      </c>
      <c r="C3" s="17">
        <v>101.5</v>
      </c>
      <c r="D3" s="9"/>
      <c r="E3" s="9" t="b">
        <v>0</v>
      </c>
      <c r="F3" s="17">
        <f t="shared" si="1"/>
        <v>101.5</v>
      </c>
      <c r="G3" s="17">
        <f t="shared" si="2"/>
        <v>145.781723</v>
      </c>
      <c r="H3" s="20">
        <f t="shared" si="3"/>
        <v>81.2</v>
      </c>
      <c r="I3" s="21" t="str">
        <f t="shared" ref="I3:I73" si="4">IF($D3="","",
   IF(ABS($D3-$C3*$L$14)&lt;=2,"Fair",
      IF($D3&lt;$C3*$L$14,"Value","Overpay")
   )
)
</f>
        <v/>
      </c>
      <c r="K3" s="9" t="s">
        <v>140</v>
      </c>
      <c r="L3" s="9">
        <v>12.0</v>
      </c>
    </row>
    <row r="4">
      <c r="A4" s="9">
        <v>3.0</v>
      </c>
      <c r="B4" s="13" t="s">
        <v>51</v>
      </c>
      <c r="C4" s="17">
        <v>90.0</v>
      </c>
      <c r="D4" s="9"/>
      <c r="E4" s="9" t="b">
        <v>0</v>
      </c>
      <c r="F4" s="17">
        <f t="shared" si="1"/>
        <v>90</v>
      </c>
      <c r="G4" s="17">
        <f t="shared" si="2"/>
        <v>129.264582</v>
      </c>
      <c r="H4" s="20">
        <f t="shared" si="3"/>
        <v>72</v>
      </c>
      <c r="I4" s="21" t="str">
        <f t="shared" si="4"/>
        <v/>
      </c>
      <c r="K4" s="9" t="s">
        <v>141</v>
      </c>
      <c r="L4" s="19">
        <f>'Draft Data'!U63</f>
        <v>416.5</v>
      </c>
    </row>
    <row r="5">
      <c r="A5" s="9">
        <v>4.0</v>
      </c>
      <c r="B5" s="13" t="s">
        <v>47</v>
      </c>
      <c r="C5" s="17">
        <v>83.0</v>
      </c>
      <c r="E5" s="22" t="b">
        <v>0</v>
      </c>
      <c r="F5" s="17">
        <f t="shared" si="1"/>
        <v>83</v>
      </c>
      <c r="G5" s="17">
        <f t="shared" si="2"/>
        <v>119.2106701</v>
      </c>
      <c r="H5" s="20">
        <f t="shared" si="3"/>
        <v>66.4</v>
      </c>
      <c r="I5" s="21" t="str">
        <f t="shared" si="4"/>
        <v/>
      </c>
      <c r="K5" s="9" t="s">
        <v>142</v>
      </c>
      <c r="L5" s="22">
        <f>SUM($D$2:$D$500)
</f>
        <v>0</v>
      </c>
    </row>
    <row r="6">
      <c r="A6" s="9">
        <v>5.0</v>
      </c>
      <c r="B6" s="13" t="s">
        <v>52</v>
      </c>
      <c r="C6" s="17">
        <v>72.5</v>
      </c>
      <c r="E6" s="22" t="b">
        <v>0</v>
      </c>
      <c r="F6" s="17">
        <f t="shared" si="1"/>
        <v>72.5</v>
      </c>
      <c r="G6" s="17">
        <f t="shared" si="2"/>
        <v>104.1298022</v>
      </c>
      <c r="H6" s="20">
        <f t="shared" si="3"/>
        <v>58</v>
      </c>
      <c r="I6" s="21" t="str">
        <f t="shared" si="4"/>
        <v/>
      </c>
      <c r="K6" s="9" t="s">
        <v>143</v>
      </c>
      <c r="L6" s="22">
        <f>L2-L5
</f>
        <v>1200</v>
      </c>
    </row>
    <row r="7">
      <c r="A7" s="9">
        <v>6.0</v>
      </c>
      <c r="B7" s="13" t="s">
        <v>53</v>
      </c>
      <c r="C7" s="17">
        <v>65.5</v>
      </c>
      <c r="E7" s="22" t="b">
        <v>0</v>
      </c>
      <c r="F7" s="17">
        <f t="shared" si="1"/>
        <v>65.5</v>
      </c>
      <c r="G7" s="17">
        <f t="shared" si="2"/>
        <v>94.07589024</v>
      </c>
      <c r="H7" s="20">
        <f t="shared" si="3"/>
        <v>52.4</v>
      </c>
      <c r="I7" s="21" t="str">
        <f t="shared" si="4"/>
        <v/>
      </c>
      <c r="K7" s="9" t="s">
        <v>144</v>
      </c>
      <c r="L7" s="22">
        <f>SUMIF($E$2:$E$500,TRUE,$D$2:$D$500)</f>
        <v>0</v>
      </c>
    </row>
    <row r="8">
      <c r="A8" s="9">
        <v>7.0</v>
      </c>
      <c r="B8" s="13" t="s">
        <v>58</v>
      </c>
      <c r="C8" s="17">
        <v>60.5</v>
      </c>
      <c r="E8" s="22" t="b">
        <v>0</v>
      </c>
      <c r="F8" s="17">
        <f t="shared" si="1"/>
        <v>60.5</v>
      </c>
      <c r="G8" s="17">
        <f t="shared" si="2"/>
        <v>86.89452457</v>
      </c>
      <c r="H8" s="20">
        <f t="shared" si="3"/>
        <v>48.4</v>
      </c>
      <c r="I8" s="21" t="str">
        <f t="shared" si="4"/>
        <v/>
      </c>
      <c r="K8" s="9" t="s">
        <v>145</v>
      </c>
      <c r="L8" s="17">
        <f>L4-L7
</f>
        <v>416.5</v>
      </c>
    </row>
    <row r="9">
      <c r="A9" s="9">
        <v>8.0</v>
      </c>
      <c r="B9" s="13" t="s">
        <v>55</v>
      </c>
      <c r="C9" s="17">
        <v>55.0</v>
      </c>
      <c r="E9" s="22" t="b">
        <v>0</v>
      </c>
      <c r="F9" s="17">
        <f t="shared" si="1"/>
        <v>55</v>
      </c>
      <c r="G9" s="17">
        <f t="shared" si="2"/>
        <v>78.99502234</v>
      </c>
      <c r="H9" s="20">
        <f t="shared" si="3"/>
        <v>44</v>
      </c>
      <c r="I9" s="21" t="str">
        <f t="shared" si="4"/>
        <v/>
      </c>
      <c r="K9" s="9" t="s">
        <v>146</v>
      </c>
      <c r="L9" s="17">
        <f>L6-L8
</f>
        <v>783.5</v>
      </c>
    </row>
    <row r="10">
      <c r="A10" s="9">
        <v>9.0</v>
      </c>
      <c r="B10" s="13" t="s">
        <v>69</v>
      </c>
      <c r="C10" s="17">
        <v>50.5</v>
      </c>
      <c r="E10" s="22" t="b">
        <v>0</v>
      </c>
      <c r="F10" s="17">
        <f t="shared" si="1"/>
        <v>50.5</v>
      </c>
      <c r="G10" s="17">
        <f t="shared" si="2"/>
        <v>72.53179324</v>
      </c>
      <c r="H10" s="20">
        <f t="shared" si="3"/>
        <v>40.4</v>
      </c>
      <c r="I10" s="21" t="str">
        <f t="shared" si="4"/>
        <v/>
      </c>
      <c r="K10" s="9" t="s">
        <v>147</v>
      </c>
      <c r="L10" s="17">
        <f>IF(L3&gt;1,L9/(L3-1),0)</f>
        <v>71.22727273</v>
      </c>
    </row>
    <row r="11">
      <c r="A11" s="9">
        <v>10.0</v>
      </c>
      <c r="B11" s="13" t="s">
        <v>68</v>
      </c>
      <c r="C11" s="17">
        <v>45.0</v>
      </c>
      <c r="E11" s="22" t="b">
        <v>0</v>
      </c>
      <c r="F11" s="17">
        <f t="shared" si="1"/>
        <v>45</v>
      </c>
      <c r="G11" s="17">
        <f t="shared" si="2"/>
        <v>64.632291</v>
      </c>
      <c r="H11" s="20">
        <f t="shared" si="3"/>
        <v>36</v>
      </c>
      <c r="I11" s="21" t="str">
        <f t="shared" si="4"/>
        <v/>
      </c>
      <c r="K11" s="9" t="s">
        <v>148</v>
      </c>
      <c r="L11" s="23">
        <f>IF(L10&gt;0,L8/L10,1)</f>
        <v>5.84747926</v>
      </c>
    </row>
    <row r="12">
      <c r="A12" s="9">
        <v>11.0</v>
      </c>
      <c r="B12" s="13" t="s">
        <v>61</v>
      </c>
      <c r="C12" s="17">
        <v>40.5</v>
      </c>
      <c r="E12" s="22" t="b">
        <v>0</v>
      </c>
      <c r="F12" s="17">
        <f t="shared" si="1"/>
        <v>40.5</v>
      </c>
      <c r="G12" s="17">
        <f t="shared" si="2"/>
        <v>58.1690619</v>
      </c>
      <c r="H12" s="20">
        <f t="shared" si="3"/>
        <v>32.4</v>
      </c>
      <c r="I12" s="21" t="str">
        <f t="shared" si="4"/>
        <v/>
      </c>
    </row>
    <row r="13">
      <c r="A13" s="9">
        <v>12.0</v>
      </c>
      <c r="B13" s="13" t="s">
        <v>60</v>
      </c>
      <c r="C13" s="17">
        <v>36.0</v>
      </c>
      <c r="E13" s="22" t="b">
        <v>0</v>
      </c>
      <c r="F13" s="17">
        <f t="shared" si="1"/>
        <v>36</v>
      </c>
      <c r="G13" s="17">
        <f t="shared" si="2"/>
        <v>51.7058328</v>
      </c>
      <c r="H13" s="20">
        <f t="shared" si="3"/>
        <v>28.8</v>
      </c>
      <c r="I13" s="21" t="str">
        <f t="shared" si="4"/>
        <v/>
      </c>
      <c r="K13" s="9" t="s">
        <v>149</v>
      </c>
      <c r="L13" s="22">
        <f>SUMIF($D$2:$D$73,"",$C$2:$C$73)</f>
        <v>1200</v>
      </c>
    </row>
    <row r="14">
      <c r="A14" s="9">
        <v>13.0</v>
      </c>
      <c r="B14" s="13" t="s">
        <v>150</v>
      </c>
      <c r="C14" s="17">
        <v>32.0</v>
      </c>
      <c r="E14" s="22" t="b">
        <v>0</v>
      </c>
      <c r="F14" s="17">
        <f t="shared" si="1"/>
        <v>32</v>
      </c>
      <c r="G14" s="17">
        <f t="shared" si="2"/>
        <v>45.96074027</v>
      </c>
      <c r="H14" s="20">
        <f t="shared" si="3"/>
        <v>25.6</v>
      </c>
      <c r="I14" s="21" t="str">
        <f t="shared" si="4"/>
        <v/>
      </c>
      <c r="K14" s="9" t="s">
        <v>151</v>
      </c>
      <c r="L14" s="23">
        <f>IF(L13&gt;0,L6/L13,1)</f>
        <v>1</v>
      </c>
    </row>
    <row r="15">
      <c r="A15" s="9">
        <v>14.0</v>
      </c>
      <c r="B15" s="13" t="s">
        <v>65</v>
      </c>
      <c r="C15" s="17">
        <v>29.0</v>
      </c>
      <c r="E15" s="22" t="b">
        <v>0</v>
      </c>
      <c r="F15" s="17">
        <f t="shared" si="1"/>
        <v>29</v>
      </c>
      <c r="G15" s="17">
        <f t="shared" si="2"/>
        <v>41.65192087</v>
      </c>
      <c r="H15" s="20">
        <f t="shared" si="3"/>
        <v>23.2</v>
      </c>
      <c r="I15" s="21" t="str">
        <f t="shared" si="4"/>
        <v/>
      </c>
    </row>
    <row r="16">
      <c r="A16" s="9">
        <v>15.0</v>
      </c>
      <c r="B16" s="13" t="s">
        <v>152</v>
      </c>
      <c r="C16" s="17">
        <v>26.0</v>
      </c>
      <c r="E16" s="22" t="b">
        <v>0</v>
      </c>
      <c r="F16" s="17">
        <f t="shared" si="1"/>
        <v>26</v>
      </c>
      <c r="G16" s="17">
        <f t="shared" si="2"/>
        <v>37.34310147</v>
      </c>
      <c r="H16" s="20">
        <f t="shared" si="3"/>
        <v>20.8</v>
      </c>
      <c r="I16" s="21" t="str">
        <f t="shared" si="4"/>
        <v/>
      </c>
      <c r="K16" s="9" t="s">
        <v>153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57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33.75241863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72</v>
      </c>
      <c r="C18" s="17">
        <v>21.0</v>
      </c>
      <c r="E18" s="22" t="b">
        <v>0</v>
      </c>
      <c r="F18" s="17">
        <f t="shared" si="1"/>
        <v>21</v>
      </c>
      <c r="G18" s="17">
        <f t="shared" si="2"/>
        <v>30.1617358</v>
      </c>
      <c r="H18" s="20">
        <f t="shared" si="3"/>
        <v>16.8</v>
      </c>
      <c r="I18" s="21" t="str">
        <f t="shared" si="4"/>
        <v/>
      </c>
      <c r="K18" s="9" t="s">
        <v>154</v>
      </c>
      <c r="L18" s="24">
        <f>L5/L2</f>
        <v>0</v>
      </c>
    </row>
    <row r="19">
      <c r="A19" s="9">
        <v>18.0</v>
      </c>
      <c r="B19" s="13" t="s">
        <v>73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26.57105297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70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23.6985067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155</v>
      </c>
      <c r="C21" s="17">
        <v>15.0</v>
      </c>
      <c r="E21" s="22" t="b">
        <v>0</v>
      </c>
      <c r="F21" s="17">
        <f t="shared" si="1"/>
        <v>15</v>
      </c>
      <c r="G21" s="17">
        <f t="shared" si="2"/>
        <v>21.544097</v>
      </c>
      <c r="H21" s="20">
        <f t="shared" si="3"/>
        <v>12</v>
      </c>
      <c r="I21" s="21" t="str">
        <f t="shared" si="4"/>
        <v/>
      </c>
    </row>
    <row r="22">
      <c r="A22" s="9">
        <v>21.0</v>
      </c>
      <c r="B22" s="13" t="s">
        <v>67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20.10782387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156</v>
      </c>
      <c r="C23" s="17">
        <v>12.5</v>
      </c>
      <c r="E23" s="22" t="b">
        <v>0</v>
      </c>
      <c r="F23" s="17">
        <f t="shared" si="1"/>
        <v>12.5</v>
      </c>
      <c r="G23" s="17">
        <f t="shared" si="2"/>
        <v>17.95341417</v>
      </c>
      <c r="H23" s="20">
        <f t="shared" si="3"/>
        <v>10</v>
      </c>
      <c r="I23" s="21" t="str">
        <f t="shared" si="4"/>
        <v/>
      </c>
    </row>
    <row r="24">
      <c r="A24" s="9">
        <v>23.0</v>
      </c>
      <c r="B24" s="13" t="s">
        <v>76</v>
      </c>
      <c r="C24" s="17">
        <v>10.5</v>
      </c>
      <c r="E24" s="22" t="b">
        <v>0</v>
      </c>
      <c r="F24" s="17">
        <f t="shared" si="1"/>
        <v>10.5</v>
      </c>
      <c r="G24" s="17">
        <f t="shared" si="2"/>
        <v>15.0808679</v>
      </c>
      <c r="H24" s="20">
        <f t="shared" si="3"/>
        <v>8.4</v>
      </c>
      <c r="I24" s="21" t="str">
        <f t="shared" si="4"/>
        <v/>
      </c>
    </row>
    <row r="25">
      <c r="A25" s="9">
        <v>24.0</v>
      </c>
      <c r="B25" s="13" t="s">
        <v>75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14.36273133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74</v>
      </c>
      <c r="C26" s="17">
        <v>9.0</v>
      </c>
      <c r="E26" s="22" t="b">
        <v>0</v>
      </c>
      <c r="F26" s="17">
        <f t="shared" si="1"/>
        <v>9</v>
      </c>
      <c r="G26" s="17">
        <f t="shared" si="2"/>
        <v>12.9264582</v>
      </c>
      <c r="H26" s="20">
        <f t="shared" si="3"/>
        <v>7.2</v>
      </c>
      <c r="I26" s="21" t="str">
        <f t="shared" si="4"/>
        <v/>
      </c>
    </row>
    <row r="27">
      <c r="A27" s="9">
        <v>26.0</v>
      </c>
      <c r="B27" s="13" t="s">
        <v>157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12.20832163</v>
      </c>
      <c r="H27" s="20">
        <f t="shared" si="3"/>
        <v>6.8</v>
      </c>
      <c r="I27" s="21" t="str">
        <f t="shared" si="4"/>
        <v/>
      </c>
      <c r="K27" s="9" t="s">
        <v>158</v>
      </c>
      <c r="L27" s="9">
        <v>0.8</v>
      </c>
    </row>
    <row r="28">
      <c r="A28" s="9">
        <v>27.0</v>
      </c>
      <c r="B28" s="13" t="s">
        <v>80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10.7720485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81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10.05391193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88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9.335775367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83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8.6176388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89</v>
      </c>
      <c r="C32" s="17">
        <v>5.0</v>
      </c>
      <c r="E32" s="22" t="b">
        <v>0</v>
      </c>
      <c r="F32" s="17">
        <f t="shared" si="1"/>
        <v>5</v>
      </c>
      <c r="G32" s="17">
        <f t="shared" si="2"/>
        <v>7.181365667</v>
      </c>
      <c r="H32" s="20">
        <f t="shared" si="3"/>
        <v>4</v>
      </c>
      <c r="I32" s="21" t="str">
        <f t="shared" si="4"/>
        <v/>
      </c>
    </row>
    <row r="33">
      <c r="A33" s="9">
        <v>32.0</v>
      </c>
      <c r="B33" s="13" t="s">
        <v>92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7.181365667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90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6.4632291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94</v>
      </c>
      <c r="C35" s="17">
        <v>4.0</v>
      </c>
      <c r="E35" s="22" t="b">
        <v>0</v>
      </c>
      <c r="F35" s="17">
        <f t="shared" si="1"/>
        <v>4</v>
      </c>
      <c r="G35" s="17">
        <f t="shared" si="2"/>
        <v>5.745092534</v>
      </c>
      <c r="H35" s="20">
        <f t="shared" si="3"/>
        <v>3.2</v>
      </c>
      <c r="I35" s="21" t="str">
        <f t="shared" si="4"/>
        <v/>
      </c>
    </row>
    <row r="36">
      <c r="A36" s="9">
        <v>35.0</v>
      </c>
      <c r="B36" s="13" t="s">
        <v>97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5.745092534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103</v>
      </c>
      <c r="C37" s="17">
        <v>3.5</v>
      </c>
      <c r="E37" s="22" t="b">
        <v>0</v>
      </c>
      <c r="F37" s="17">
        <f t="shared" si="1"/>
        <v>3.5</v>
      </c>
      <c r="G37" s="17">
        <f t="shared" si="2"/>
        <v>5.026955967</v>
      </c>
      <c r="H37" s="20">
        <f t="shared" si="3"/>
        <v>2.8</v>
      </c>
      <c r="I37" s="21" t="str">
        <f t="shared" si="4"/>
        <v/>
      </c>
    </row>
    <row r="38">
      <c r="A38" s="9">
        <v>37.0</v>
      </c>
      <c r="B38" s="13" t="s">
        <v>79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5.026955967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86</v>
      </c>
      <c r="C39" s="17">
        <v>3.0</v>
      </c>
      <c r="E39" s="22" t="b">
        <v>0</v>
      </c>
      <c r="F39" s="17">
        <f t="shared" si="1"/>
        <v>3</v>
      </c>
      <c r="G39" s="17">
        <f t="shared" si="2"/>
        <v>4.3088194</v>
      </c>
      <c r="H39" s="20">
        <f t="shared" si="3"/>
        <v>2.4</v>
      </c>
      <c r="I39" s="21" t="str">
        <f t="shared" si="4"/>
        <v/>
      </c>
    </row>
    <row r="40">
      <c r="A40" s="9">
        <v>39.0</v>
      </c>
      <c r="B40" s="13" t="s">
        <v>159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4.3088194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85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4.3088194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105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3.590682833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102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3.590682833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96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3.590682833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95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3.590682833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112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2.872546267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160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2.872546267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107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2.872546267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116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2.872546267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161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2.872546267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162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2.872546267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163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2.872546267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164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2.872546267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165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2.872546267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166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2.872546267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167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2.872546267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2.872546267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108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2.872546267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98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2.872546267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104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2.872546267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169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2.872546267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170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1.436273133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115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1.436273133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118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1.436273133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171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1.436273133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106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1.436273133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100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1.436273133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99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1.436273133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124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1.436273133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111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1.436273133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172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1.436273133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123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1.436273133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125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1.436273133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