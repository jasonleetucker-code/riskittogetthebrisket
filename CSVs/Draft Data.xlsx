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<sst xmlns="http://schemas.openxmlformats.org/spreadsheetml/2006/main" count="312" uniqueCount="178">
  <si>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</si>
  <si>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</si>
  <si>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</si>
  <si>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Rank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</si>
  <si>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</si>
  <si>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</si>
  <si>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</si>
  <si>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</si>
  <si>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</si>
  <si>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</si>
  <si>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</si>
  <si>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</si>
  <si>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</si>
  <si>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</si>
  <si>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</si>
  <si>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</si>
  <si>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</si>
  <si>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Final Dollar Per Pick</t>
  </si>
  <si>
    <t>Settings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</si>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</sst>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17</v>
      </c>
      <c r="M1" s="5">
        <v>12.0</v>
      </c>
      <c r="N1" s="10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0"/>
      <c r="N2" s="10"/>
      <c r="O2" s="8" t="s">
        <v>26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0"/>
      <c r="N3" s="10"/>
      <c r="O3" s="8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0"/>
      <c r="N4" s="10"/>
      <c r="O4" s="8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0"/>
      <c r="N5" s="10"/>
      <c r="O5" s="8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0"/>
      <c r="N6" s="10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0"/>
      <c r="N7" s="10"/>
      <c r="O7" s="8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0"/>
      <c r="N29" s="10"/>
      <c r="O29" s="8" t="s">
        <v>113</v>
      </c>
      <c r="P29" s="8" t="s">
        <v>114</v>
      </c>
      <c r="Q29" s="10"/>
      <c r="R29" s="8" t="s">
        <v>115</v>
      </c>
      <c r="S29" s="8" t="s">
        <v>116</v>
      </c>
      <c r="T29" s="8" t="s">
        <v>117</v>
      </c>
      <c r="U29" s="10"/>
      <c r="V29" s="8" t="s">
        <v>118</v>
      </c>
      <c r="W29" s="8" t="s">
        <v>119</v>
      </c>
      <c r="X29" s="8" t="s">
        <v>120</v>
      </c>
      <c r="Y29" s="8" t="s">
        <v>121</v>
      </c>
      <c r="Z29" s="10"/>
      <c r="AA29" s="10"/>
      <c r="AB29" s="10"/>
      <c r="AC29" s="10"/>
      <c r="AD29" s="10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0"/>
      <c r="N30" s="10"/>
      <c r="O30" s="5">
        <v>1.0</v>
      </c>
      <c r="P30" s="8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0"/>
      <c r="N31" s="10"/>
      <c r="O31" s="5">
        <v>2.0</v>
      </c>
      <c r="P31" s="8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0"/>
      <c r="N32" s="10"/>
      <c r="O32" s="5">
        <v>3.0</v>
      </c>
      <c r="P32" s="8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0"/>
      <c r="N33" s="10"/>
      <c r="O33" s="5">
        <v>4.0</v>
      </c>
      <c r="P33" s="8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0"/>
      <c r="N34" s="10"/>
      <c r="O34" s="5">
        <v>5.0</v>
      </c>
      <c r="P34" s="8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0"/>
      <c r="N35" s="10"/>
      <c r="O35" s="5">
        <v>6.0</v>
      </c>
      <c r="P35" s="8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0"/>
      <c r="N36" s="10"/>
      <c r="O36" s="5">
        <v>7.0</v>
      </c>
      <c r="P36" s="8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0"/>
      <c r="N37" s="10"/>
      <c r="O37" s="5">
        <v>8.0</v>
      </c>
      <c r="P37" s="8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0"/>
      <c r="N38" s="10"/>
      <c r="O38" s="5">
        <v>9.0</v>
      </c>
      <c r="P38" s="8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0"/>
      <c r="N39" s="10"/>
      <c r="O39" s="5">
        <v>10.0</v>
      </c>
      <c r="P39" s="8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0"/>
      <c r="N40" s="10"/>
      <c r="O40" s="5">
        <v>11.0</v>
      </c>
      <c r="P40" s="8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0"/>
      <c r="N41" s="10"/>
      <c r="O41" s="5">
        <v>12.0</v>
      </c>
      <c r="P41" s="8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0"/>
      <c r="N44" s="10"/>
      <c r="O44" s="8" t="s">
        <v>118</v>
      </c>
      <c r="P44" s="8" t="s">
        <v>20</v>
      </c>
      <c r="Q44" s="8" t="s">
        <v>134</v>
      </c>
      <c r="R44" s="8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8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7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8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8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8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8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8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8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8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8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8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8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8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8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8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8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8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8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8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8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8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8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8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8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8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8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8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8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8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8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8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8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8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8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8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8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8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8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8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8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8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8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3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8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19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8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8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8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29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8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27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8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8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8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50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8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53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8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46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8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54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8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8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8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36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8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57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8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58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8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60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8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8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38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8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8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40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8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49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8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8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8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8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8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8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59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8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62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8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8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8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8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8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8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8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8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8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8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8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8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8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8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8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8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8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8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8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8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8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8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8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8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8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8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8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8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8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8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8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8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8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8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8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8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8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8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8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8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8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8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8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8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8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8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8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8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8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8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8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8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8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8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8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8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8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8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8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8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8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8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8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8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8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8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8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8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8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8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8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8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8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8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8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8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8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8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8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8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8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8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8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8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8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8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8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8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8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8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8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8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8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8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8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8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8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8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8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8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8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8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8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8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8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8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8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8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8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8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8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8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8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8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8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8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8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8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8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8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8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8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8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8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8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8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8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8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8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8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8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8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8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8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8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8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8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8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8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8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8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8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8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8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8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8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8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8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8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8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8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8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8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8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8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8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8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8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8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8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8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8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8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8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8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8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8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8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8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8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8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8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8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8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8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8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8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8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8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8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8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8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8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8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8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8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8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8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8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8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8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8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8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8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8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8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8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8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8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8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8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8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8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8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8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8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8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8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8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8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8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8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8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8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8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8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8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8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8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8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8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8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8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8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8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8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8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8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8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8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8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8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8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8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8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8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8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8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8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8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8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8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8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8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8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8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8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8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8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8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8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8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8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8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8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8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8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8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8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8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8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8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8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8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8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8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8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8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8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8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8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8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8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8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8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8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8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8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8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8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8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8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8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8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8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8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8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8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8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8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8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8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8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8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8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8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8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8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8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8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8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8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8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8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8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8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8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8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8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8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8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8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8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8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8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8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8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8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8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8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8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8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8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8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8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8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8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8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8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8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8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8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8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8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8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8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8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8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8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8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8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8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8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8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8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8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8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8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8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8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8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8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8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8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8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8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8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8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8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8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8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8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8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8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8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8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8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8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8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8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8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8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8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8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8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8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8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8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8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8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8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8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8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8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8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8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8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8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8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8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8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8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8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8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8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8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8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8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8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8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8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8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8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8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8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8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8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8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8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8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8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8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8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8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8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8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8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8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8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8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8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8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8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8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8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8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8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8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8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8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8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8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8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8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8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8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8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8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8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8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8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8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8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8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8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8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8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8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8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8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8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8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8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8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8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8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8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8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8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8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8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8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8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8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8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8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8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8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8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8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8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8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8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8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8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8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8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8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8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8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8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8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8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8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8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8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8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8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8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8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8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8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8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8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8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8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8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8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8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8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8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8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8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8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8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8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8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8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8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8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8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8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8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8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8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8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8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8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8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8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8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8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8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8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8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8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8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8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8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8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8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8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8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8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8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8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8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8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8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8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8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8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8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8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8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8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8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8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8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8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8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8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8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8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8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8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8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8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8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8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8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8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8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8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8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8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8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8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8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8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8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8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8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8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8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8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8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8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8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8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8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8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8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8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8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8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8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8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8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8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8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8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8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8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8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8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8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8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8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8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8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8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8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8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8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8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8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8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8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8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8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8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8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8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8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8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8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8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8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8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8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8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8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8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8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8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8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8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8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8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8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8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8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8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8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8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8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8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8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8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8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8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8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8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8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8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8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8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8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8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8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8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8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8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8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8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8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8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8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8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8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8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8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8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8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8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8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8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8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8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8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8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8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8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8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8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8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8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8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8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8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8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8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8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8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8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8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8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8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8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8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8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8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8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8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8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8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8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8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8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8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8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8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8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8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8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8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8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8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8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8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8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8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8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8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8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8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8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8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8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8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8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8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8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8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8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8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8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8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8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8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8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8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8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8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8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8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8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8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8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8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8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8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8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8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8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8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8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8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8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8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8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8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8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8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8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8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8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8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8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8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8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8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8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8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8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8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8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8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8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8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8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8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8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8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8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8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8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8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8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8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8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8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8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8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8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8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8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8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8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8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8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8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8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8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8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8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8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8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8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8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8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8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8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8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8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8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8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8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8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8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8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8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8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8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8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8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8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8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8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8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8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8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8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8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8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8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8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8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8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8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8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3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18</v>
      </c>
    </row>
    <row r="2">
      <c r="A2" s="4">
        <v>1.0</v>
      </c>
      <c r="B2" s="11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28</v>
      </c>
      <c r="L5" s="18">
        <f>SUM($D$2:$D$500)
</f>
        <v>0</v>
      </c>
    </row>
    <row r="6">
      <c r="A6" s="4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30</v>
      </c>
      <c r="L6" s="18">
        <f>L2-L5
</f>
        <v>1200</v>
      </c>
    </row>
    <row r="7">
      <c r="A7" s="4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8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37</v>
      </c>
      <c r="L9" s="12">
        <f>L6-L8
</f>
        <v>1020</v>
      </c>
    </row>
    <row r="10">
      <c r="A10" s="4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39</v>
      </c>
      <c r="L10" s="12">
        <f>IF(L3&gt;1,L9/(L3-1),0)</f>
        <v>92.72727273</v>
      </c>
    </row>
    <row r="11">
      <c r="A11" s="4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42</v>
      </c>
      <c r="L11" s="19">
        <f>IF(L10&gt;0,L8/L10,1)</f>
        <v>1.941176471</v>
      </c>
    </row>
    <row r="12">
      <c r="A12" s="4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45</v>
      </c>
      <c r="L13" s="18">
        <f>SUMIF($D$2:$D$73,"",$C$2:$C$73)</f>
        <v>1200</v>
      </c>
    </row>
    <row r="14">
      <c r="A14" s="4">
        <v>13.0</v>
      </c>
      <c r="B14" s="11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48</v>
      </c>
      <c r="L14" s="19">
        <f>IF(L13&gt;0,L6/L13,1)</f>
        <v>1</v>
      </c>
    </row>
    <row r="15">
      <c r="A15" s="4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51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56</v>
      </c>
      <c r="L18" s="20">
        <f>L5/L2</f>
        <v>0</v>
      </c>
    </row>
    <row r="19">
      <c r="A19" s="4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