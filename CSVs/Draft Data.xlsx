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<sst xmlns="http://schemas.openxmlformats.org/spreadsheetml/2006/main" count="312" uniqueCount="178">
  <si>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</si>
  <si>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</si>
  <si>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</si>
  <si>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</si>
  <si>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</si>
  <si>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</si>
  <si>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</si>
  <si>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</si>
  <si>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</si>
  <si>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</si>
  <si>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</si>
  <si>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</si>
  <si>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</si>
  <si>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</si>
  <si>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Fractions</t>
  </si>
  <si>
    <t>Value vs Fair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</si>
  <si>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</si>
  <si>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</si>
  <si>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</si>
  <si>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</si>
  <si>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</si>
  <si>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</si>
  <si>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</si>
  <si>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</si>
  <si>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</si>
  <si>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</si>
  <si>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</si>
  <si>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</si>
  <si>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</si>
  <si>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</si>
  <si>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</si>
  <si>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</si>
  <si>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</si>
  <si>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</si>
  <si>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</si>
  <si>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</si>
  <si>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</si>
  <si>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</si>
  <si>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</si>
  <si>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2</t>
  </si>
  <si>
    <t>Eli Stowers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</si>
  <si>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</si>
  <si>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</si>
  <si>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</si>
  <si>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</si>
  <si>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</si>
  <si>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</si>
  <si>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</si>
  <si>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</si>
  <si>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</si>
  <si>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</si>
  <si>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</si>
  <si>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</si>
  <si>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</si>
  <si>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</si>
  <si>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</si>
  <si>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</si>
  <si>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</si>
  <si>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</si>
  <si>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</si>
  <si>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</si>
  <si>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</si>
  <si>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</si>
  <si>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</si>
  <si>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</si>
  <si>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</si>
  <si>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</si>
  <si>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</si>
  <si>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</si>
  <si>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</si>
  <si>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</si>
  <si>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</si>
  <si>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</si>
  <si>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</si>
  <si>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</si>
  <si>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</si>
  <si>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</si>
  <si>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</si>
  <si>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</si>
  <si>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</si>
  <si>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</si>
  <si>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</si>
  <si>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</si>
  <si>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</si>
  <si>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</si>
  <si>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</si>
  <si>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</si>
  <si>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</si>
  <si>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</si>
  <si>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</si>
  <si>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</si>
  <si>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</si>
  <si>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</si>
  <si>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</si>
  <si>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</si>
  <si>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</si>
  <si>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</si>
  <si>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</si>
  <si>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</si>
  <si>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</si>
  <si>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</si>
  <si>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</si>
  <si>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</si>
  <si>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</si>
  <si>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</si>
  <si>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</si>
  <si>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</si>
  <si>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</si>
  <si>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</si>
  <si>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</si>
  <si>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</si>
  <si>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</si>
  <si>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</si>
  <si>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</si>
  <si>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</si>
  <si>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</si>
  <si>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</si>
  <si>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Bryce Lance</t>
  </si>
  <si>
    <t>Kevin Coleman</t>
  </si>
  <si>
    <t>Garrett Nussmeier</t>
  </si>
  <si>
    <t>Nate Boerkircher</t>
  </si>
  <si>
    <t>Brent</t>
  </si>
  <si>
    <t>Will Kacmarek</t>
  </si>
  <si>
    <t>Noah Whittington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</si>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</sst>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14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39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107</v>
      </c>
      <c r="P29" s="8" t="s">
        <v>108</v>
      </c>
      <c r="Q29" s="11"/>
      <c r="R29" s="8" t="s">
        <v>109</v>
      </c>
      <c r="S29" s="8" t="s">
        <v>110</v>
      </c>
      <c r="T29" s="8" t="s">
        <v>111</v>
      </c>
      <c r="U29" s="11"/>
      <c r="V29" s="8" t="s">
        <v>112</v>
      </c>
      <c r="W29" s="8" t="s">
        <v>113</v>
      </c>
      <c r="X29" s="8" t="s">
        <v>114</v>
      </c>
      <c r="Y29" s="8" t="s">
        <v>115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116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1"/>
      <c r="W30" s="21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121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112</v>
      </c>
      <c r="P44" s="8" t="s">
        <v>20</v>
      </c>
      <c r="Q44" s="8" t="s">
        <v>134</v>
      </c>
      <c r="R44" s="8" t="s">
        <v>108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1"/>
      <c r="W58" s="21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1"/>
      <c r="W59" s="21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1"/>
      <c r="W60" s="21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1"/>
      <c r="W64" s="21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1"/>
      <c r="W69" s="21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121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116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53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46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54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57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58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40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59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119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117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8</v>
      </c>
      <c r="E1" s="2" t="s">
        <v>9</v>
      </c>
      <c r="F1" s="6" t="s">
        <v>10</v>
      </c>
      <c r="G1" s="6" t="s">
        <v>11</v>
      </c>
      <c r="H1" s="6" t="s">
        <v>13</v>
      </c>
      <c r="I1" s="2" t="s">
        <v>15</v>
      </c>
      <c r="K1" s="2" t="s">
        <v>16</v>
      </c>
    </row>
    <row r="2">
      <c r="A2" s="2">
        <v>1.0</v>
      </c>
      <c r="B2" s="10" t="s">
        <v>19</v>
      </c>
      <c r="C2" s="12">
        <v>139.0</v>
      </c>
      <c r="D2" s="2"/>
      <c r="E2" s="2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10" t="s">
        <v>22</v>
      </c>
      <c r="C3" s="12">
        <v>106.5</v>
      </c>
      <c r="D3" s="2"/>
      <c r="E3" s="2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10" t="s">
        <v>24</v>
      </c>
      <c r="C4" s="12">
        <v>93.0</v>
      </c>
      <c r="D4" s="2"/>
      <c r="E4" s="2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6">
        <f>'Draft Data'!U63</f>
        <v>180</v>
      </c>
    </row>
    <row r="5">
      <c r="A5" s="2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10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2">
        <f>L4-L7
</f>
        <v>180</v>
      </c>
    </row>
    <row r="9">
      <c r="A9" s="2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2">
        <f>L6-L8
</f>
        <v>1020</v>
      </c>
    </row>
    <row r="10">
      <c r="A10" s="2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2">
        <f>IF(L3&gt;1,L9/(L3-1),0)</f>
        <v>92.72727273</v>
      </c>
    </row>
    <row r="11">
      <c r="A11" s="2">
        <v>10.0</v>
      </c>
      <c r="B11" s="10" t="s">
        <v>40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10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10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10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10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10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10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10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10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10" t="s">
        <v>117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10" t="s">
        <v>118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10" t="s">
        <v>119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10" t="s">
        <v>120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10" t="s">
        <v>122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123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