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<sst xmlns="http://schemas.openxmlformats.org/spreadsheetml/2006/main" count="312" uniqueCount="178">
  <si>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</si>
  <si>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</si>
  <si>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</si>
  <si>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</si>
  <si>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</si>
  <si>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</si>
  <si>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</si>
  <si>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</si>
  <si>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</si>
  <si>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</si>
  <si>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</si>
  <si>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</si>
  <si>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</si>
  <si>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</si>
  <si>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</si>
  <si>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</si>
  <si>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</si>
  <si>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</si>
  <si>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</si>
  <si>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</si>
  <si>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</si>
  <si>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</si>
  <si>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</si>
  <si>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</si>
  <si>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</si>
  <si>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</si>
  <si>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</si>
  <si>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</si>
  <si>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</si>
  <si>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</si>
  <si>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</si>
  <si>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</si>
  <si>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</si>
  <si>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</si>
  <si>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</si>
  <si>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</si>
  <si>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</si>
  <si>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</si>
  <si>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</si>
  <si>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</si>
  <si>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</si>
  <si>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</si>
  <si>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</si>
  <si>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</si>
  <si>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</si>
  <si>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</si>
  <si>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</si>
  <si>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</si>
  <si>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</si>
  <si>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</si>
  <si>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</si>
  <si>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</si>
  <si>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</si>
  <si>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</si>
  <si>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</si>
  <si>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</si>
  <si>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</si>
  <si>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</si>
  <si>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</si>
  <si>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</si>
  <si>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</si>
  <si>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</si>
  <si>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</si>
  <si>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</si>
  <si>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</si>
  <si>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</si>
  <si>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</si>
  <si>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</si>
  <si>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</si>
  <si>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</si>
  <si>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</si>
  <si>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</si>
  <si>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</si>
  <si>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</si>
  <si>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</si>
  <si>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</si>
  <si>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</si>
  <si>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</si>
  <si>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</si>
  <si>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</si>
  <si>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</si>
  <si>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</si>
  <si>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</si>
  <si>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</si>
  <si>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</si>
  <si>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</si>
  <si>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</si>
  <si>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</si>
  <si>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</si>
  <si>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</si>
  <si>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</si>
  <si>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</si>
  <si>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</si>
  <si>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</si>
  <si>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</si>
  <si>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</si>
  <si>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</si>
  <si>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</si>
  <si>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</si>
  <si>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</si>
  <si>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</si>
  <si>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</si>
  <si>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</si>
  <si>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</si>
  <si>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</si>
  <si>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</si>
  <si>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</si>
  <si>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</si>
  <si>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Drew Allar</t>
  </si>
  <si>
    <t>Carson Beck</t>
  </si>
  <si>
    <t>Ed</t>
  </si>
  <si>
    <t>Joe Royer</t>
  </si>
  <si>
    <t>Sam Roush</t>
  </si>
  <si>
    <t>Tanner Koziol</t>
  </si>
  <si>
    <t>Jack Endries</t>
  </si>
  <si>
    <t>Brent</t>
  </si>
  <si>
    <t>Matthew Hibner</t>
  </si>
  <si>
    <t>Tyren Montgomery</t>
  </si>
  <si>
    <t>Joey</t>
  </si>
  <si>
    <t>Bryce Lance</t>
  </si>
  <si>
    <t>MaKayla</t>
  </si>
  <si>
    <t>Kevin Coleman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</si>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</sst>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8"/>
      <c r="N4" s="8"/>
      <c r="O4" s="6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8"/>
      <c r="N5" s="8"/>
      <c r="O5" s="6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8"/>
      <c r="N6" s="8"/>
      <c r="O6" s="6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8"/>
      <c r="N7" s="8"/>
      <c r="O7" s="6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8"/>
      <c r="N8" s="8"/>
      <c r="O8" s="8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8"/>
      <c r="N10" s="8"/>
      <c r="O10" s="8"/>
      <c r="P10" s="16"/>
      <c r="Q10" s="16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8"/>
      <c r="N11" s="8"/>
      <c r="O11" s="8"/>
      <c r="P11" s="16"/>
      <c r="Q11" s="16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8"/>
      <c r="N12" s="8"/>
      <c r="O12" s="8"/>
      <c r="P12" s="16"/>
      <c r="Q12" s="16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8"/>
      <c r="N13" s="8"/>
      <c r="O13" s="8"/>
      <c r="P13" s="16"/>
      <c r="Q13" s="16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8"/>
      <c r="N14" s="8"/>
      <c r="O14" s="8"/>
      <c r="P14" s="16"/>
      <c r="Q14" s="16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8"/>
      <c r="N15" s="8"/>
      <c r="O15" s="8"/>
      <c r="P15" s="16"/>
      <c r="Q15" s="16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8"/>
      <c r="N16" s="8"/>
      <c r="O16" s="8"/>
      <c r="P16" s="16"/>
      <c r="Q16" s="16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8"/>
      <c r="N29" s="8"/>
      <c r="O29" s="6" t="s">
        <v>99</v>
      </c>
      <c r="P29" s="6" t="s">
        <v>100</v>
      </c>
      <c r="Q29" s="8"/>
      <c r="R29" s="6" t="s">
        <v>101</v>
      </c>
      <c r="S29" s="6" t="s">
        <v>102</v>
      </c>
      <c r="T29" s="6" t="s">
        <v>103</v>
      </c>
      <c r="U29" s="8"/>
      <c r="V29" s="6" t="s">
        <v>104</v>
      </c>
      <c r="W29" s="6" t="s">
        <v>105</v>
      </c>
      <c r="X29" s="6" t="s">
        <v>106</v>
      </c>
      <c r="Y29" s="6" t="s">
        <v>107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110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1"/>
      <c r="W30" s="21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115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118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120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123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126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8"/>
      <c r="N44" s="8"/>
      <c r="O44" s="6" t="s">
        <v>104</v>
      </c>
      <c r="P44" s="6" t="s">
        <v>9</v>
      </c>
      <c r="Q44" s="6" t="s">
        <v>134</v>
      </c>
      <c r="R44" s="6" t="s">
        <v>100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8" t="str">
        <f t="shared" si="21"/>
        <v>Blaine</v>
      </c>
      <c r="S58" s="8"/>
      <c r="T58" s="8"/>
      <c r="U58" s="8"/>
      <c r="V58" s="21"/>
      <c r="W58" s="21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8" t="str">
        <f t="shared" si="21"/>
        <v>Jason</v>
      </c>
      <c r="S59" s="8"/>
      <c r="T59" s="8"/>
      <c r="U59" s="8"/>
      <c r="V59" s="21"/>
      <c r="W59" s="21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8" t="str">
        <f t="shared" si="21"/>
        <v>Roy</v>
      </c>
      <c r="S60" s="8"/>
      <c r="T60" s="8"/>
      <c r="U60" s="8"/>
      <c r="V60" s="21"/>
      <c r="W60" s="21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8" t="str">
        <f t="shared" si="21"/>
        <v>Kich</v>
      </c>
      <c r="S63" s="8"/>
      <c r="T63" s="8" t="s">
        <v>133</v>
      </c>
      <c r="U63" s="16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8" t="str">
        <f t="shared" si="21"/>
        <v>Ty</v>
      </c>
      <c r="S64" s="8"/>
      <c r="T64" s="8" t="s">
        <v>132</v>
      </c>
      <c r="U64" s="16">
        <f t="shared" si="22"/>
        <v>144.5</v>
      </c>
      <c r="V64" s="21"/>
      <c r="W64" s="21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8" t="str">
        <f t="shared" si="21"/>
        <v>MaKayla</v>
      </c>
      <c r="S65" s="8"/>
      <c r="T65" s="6" t="s">
        <v>131</v>
      </c>
      <c r="U65" s="16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8" t="str">
        <f t="shared" si="21"/>
        <v>Joey</v>
      </c>
      <c r="S66" s="8"/>
      <c r="T66" s="8" t="s">
        <v>130</v>
      </c>
      <c r="U66" s="16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8" t="str">
        <f t="shared" si="21"/>
        <v>Brent</v>
      </c>
      <c r="S67" s="8"/>
      <c r="T67" s="8" t="s">
        <v>129</v>
      </c>
      <c r="U67" s="16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8" t="str">
        <f t="shared" si="21"/>
        <v>Ed</v>
      </c>
      <c r="S68" s="8"/>
      <c r="T68" s="8" t="s">
        <v>128</v>
      </c>
      <c r="U68" s="16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8" t="str">
        <f t="shared" si="21"/>
        <v>Joel</v>
      </c>
      <c r="S69" s="8"/>
      <c r="T69" s="8" t="s">
        <v>126</v>
      </c>
      <c r="U69" s="16">
        <f t="shared" si="22"/>
        <v>83</v>
      </c>
      <c r="V69" s="21"/>
      <c r="W69" s="21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6">
        <f t="shared" si="20"/>
        <v>9</v>
      </c>
      <c r="R70" s="8" t="str">
        <f t="shared" si="21"/>
        <v>Blaine</v>
      </c>
      <c r="S70" s="8"/>
      <c r="T70" s="8" t="s">
        <v>123</v>
      </c>
      <c r="U70" s="16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6">
        <f t="shared" si="20"/>
        <v>7</v>
      </c>
      <c r="R71" s="8" t="str">
        <f t="shared" si="21"/>
        <v>Jason</v>
      </c>
      <c r="S71" s="8"/>
      <c r="T71" s="8" t="s">
        <v>120</v>
      </c>
      <c r="U71" s="16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6">
        <f t="shared" si="20"/>
        <v>7</v>
      </c>
      <c r="R72" s="8" t="str">
        <f t="shared" si="21"/>
        <v>Roy</v>
      </c>
      <c r="S72" s="8"/>
      <c r="T72" s="8" t="s">
        <v>118</v>
      </c>
      <c r="U72" s="16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8" t="str">
        <f t="shared" si="21"/>
        <v>Collin</v>
      </c>
      <c r="S73" s="8"/>
      <c r="T73" s="8" t="s">
        <v>115</v>
      </c>
      <c r="U73" s="16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8" t="str">
        <f t="shared" si="21"/>
        <v>Eric</v>
      </c>
      <c r="S74" s="8"/>
      <c r="T74" s="8" t="s">
        <v>110</v>
      </c>
      <c r="U74" s="16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8" t="str">
        <f t="shared" si="21"/>
        <v>Kich</v>
      </c>
      <c r="S75" s="8"/>
      <c r="T75" s="8"/>
      <c r="U75" s="16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8" t="str">
        <f t="shared" si="21"/>
        <v>Brent</v>
      </c>
      <c r="S79" s="8"/>
      <c r="T79" s="8"/>
      <c r="U79" s="16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8" t="str">
        <f t="shared" si="21"/>
        <v>Ed</v>
      </c>
      <c r="S80" s="8"/>
      <c r="T80" s="8"/>
      <c r="U80" s="16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8" t="str">
        <f t="shared" si="21"/>
        <v>Joel</v>
      </c>
      <c r="S81" s="8"/>
      <c r="T81" s="8"/>
      <c r="U81" s="16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8" t="str">
        <f t="shared" si="21"/>
        <v>Blaine</v>
      </c>
      <c r="S82" s="8"/>
      <c r="T82" s="8"/>
      <c r="U82" s="16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8" t="str">
        <f t="shared" si="21"/>
        <v>Jason</v>
      </c>
      <c r="S83" s="8"/>
      <c r="T83" s="8"/>
      <c r="U83" s="16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8" t="str">
        <f t="shared" si="21"/>
        <v>Roy</v>
      </c>
      <c r="S84" s="8"/>
      <c r="T84" s="8"/>
      <c r="U84" s="16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8" t="str">
        <f t="shared" si="21"/>
        <v>Collin</v>
      </c>
      <c r="S85" s="8"/>
      <c r="T85" s="8"/>
      <c r="U85" s="16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8" t="str">
        <f t="shared" si="21"/>
        <v>Eric</v>
      </c>
      <c r="S86" s="8"/>
      <c r="T86" s="8"/>
      <c r="U86" s="16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8" t="str">
        <f t="shared" si="21"/>
        <v>Kich</v>
      </c>
      <c r="S87" s="8"/>
      <c r="T87" s="8"/>
      <c r="U87" s="16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8" t="str">
        <f t="shared" si="21"/>
        <v>Ty</v>
      </c>
      <c r="S88" s="8"/>
      <c r="T88" s="8"/>
      <c r="U88" s="16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8" t="str">
        <f t="shared" si="21"/>
        <v>MaKayla</v>
      </c>
      <c r="S89" s="8"/>
      <c r="T89" s="8"/>
      <c r="U89" s="16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8" t="str">
        <f t="shared" si="21"/>
        <v>Joey</v>
      </c>
      <c r="S90" s="8"/>
      <c r="T90" s="8"/>
      <c r="U90" s="16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6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6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32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30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44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53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57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59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62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111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114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122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119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109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108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9" t="s">
        <v>29</v>
      </c>
      <c r="L6" s="17">
        <f>L2-L5
</f>
        <v>1200</v>
      </c>
    </row>
    <row r="7">
      <c r="A7" s="9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9" t="s">
        <v>31</v>
      </c>
      <c r="L7" s="17">
        <f>SUMIF($E$2:$E$500,TRUE,$D$2:$D$500)</f>
        <v>0</v>
      </c>
    </row>
    <row r="8">
      <c r="A8" s="9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9" t="s">
        <v>43</v>
      </c>
      <c r="L13" s="17">
        <f>SUMIF($D$2:$D$73,"",$C$2:$C$73)</f>
        <v>1200</v>
      </c>
    </row>
    <row r="14">
      <c r="A14" s="9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9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9" t="s">
        <v>54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9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9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9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9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9">
        <v>59.0</v>
      </c>
      <c r="B60" s="11" t="s">
        <v>108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9">
        <v>60.0</v>
      </c>
      <c r="B61" s="11" t="s">
        <v>109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9">
        <v>61.0</v>
      </c>
      <c r="B62" s="11" t="s">
        <v>111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9">
        <v>62.0</v>
      </c>
      <c r="B63" s="11" t="s">
        <v>112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9">
        <v>63.0</v>
      </c>
      <c r="B64" s="11" t="s">
        <v>113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9">
        <v>64.0</v>
      </c>
      <c r="B65" s="11" t="s">
        <v>114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9">
        <v>65.0</v>
      </c>
      <c r="B66" s="11" t="s">
        <v>116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9">
        <v>66.0</v>
      </c>
      <c r="B67" s="11" t="s">
        <v>117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9">
        <v>67.0</v>
      </c>
      <c r="B68" s="11" t="s">
        <v>119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9">
        <v>68.0</v>
      </c>
      <c r="B69" s="11" t="s">
        <v>121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9">
        <v>69.0</v>
      </c>
      <c r="B70" s="11" t="s">
        <v>122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9">
        <v>70.0</v>
      </c>
      <c r="B71" s="11" t="s">
        <v>124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9">
        <v>71.0</v>
      </c>
      <c r="B72" s="11" t="s">
        <v>125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9">
        <v>72.0</v>
      </c>
      <c r="B73" s="9" t="s">
        <v>127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