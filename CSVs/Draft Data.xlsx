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<sst xmlns="http://schemas.openxmlformats.org/spreadsheetml/2006/main" count="312" uniqueCount="178">
  <si>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</si>
  <si>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</si>
  <si>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</si>
  <si>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</si>
  <si>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</si>
  <si>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</si>
  <si>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</si>
  <si>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</si>
  <si>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Fractions</t>
  </si>
  <si>
    <t>PreDraft$</t>
  </si>
  <si>
    <t>Final Price</t>
  </si>
  <si>
    <t>Monotone Rounded</t>
  </si>
  <si>
    <t>Mine?</t>
  </si>
  <si>
    <t>Final Dollar Per Pick</t>
  </si>
  <si>
    <t>Inflated Fair Price</t>
  </si>
  <si>
    <t>My Max Bid</t>
  </si>
  <si>
    <t>EnforceUpTo</t>
  </si>
  <si>
    <t>Pick</t>
  </si>
  <si>
    <t>Value vs Fair</t>
  </si>
  <si>
    <t>Settings</t>
  </si>
  <si>
    <t>Jeremiyah Love</t>
  </si>
  <si>
    <t>Total Auction $</t>
  </si>
  <si>
    <t>Carnell Tate</t>
  </si>
  <si>
    <t># of Teams</t>
  </si>
  <si>
    <t>Round 1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</si>
  <si>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</si>
  <si>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</si>
  <si>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</si>
  <si>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</si>
  <si>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</si>
  <si>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</si>
  <si>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</si>
  <si>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</si>
  <si>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</si>
  <si>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</si>
  <si>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</si>
  <si>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</si>
  <si>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</si>
  <si>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</si>
  <si>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</si>
  <si>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</si>
  <si>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</si>
  <si>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</si>
  <si>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</si>
  <si>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</si>
  <si>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</si>
  <si>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</si>
  <si>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</si>
  <si>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</si>
  <si>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</si>
  <si>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</si>
  <si>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</si>
  <si>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</si>
  <si>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</si>
  <si>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</si>
  <si>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</si>
  <si>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</si>
  <si>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</si>
  <si>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</si>
  <si>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</si>
  <si>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</si>
  <si>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</si>
  <si>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</si>
  <si>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</si>
  <si>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</si>
  <si>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</si>
  <si>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</si>
  <si>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</si>
  <si>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</si>
  <si>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</si>
  <si>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</si>
  <si>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</si>
  <si>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</si>
  <si>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</si>
  <si>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</si>
  <si>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</si>
  <si>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</si>
  <si>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</si>
  <si>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</si>
  <si>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</si>
  <si>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</si>
  <si>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</si>
  <si>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</si>
  <si>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</si>
  <si>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</si>
  <si>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</si>
  <si>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</si>
  <si>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</si>
  <si>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</si>
  <si>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</si>
  <si>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</si>
  <si>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</si>
  <si>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</si>
  <si>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</si>
  <si>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</si>
  <si>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</si>
  <si>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</si>
  <si>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</si>
  <si>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</si>
  <si>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</si>
  <si>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</si>
  <si>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</si>
  <si>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</si>
  <si>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</si>
  <si>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</si>
  <si>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</si>
  <si>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</si>
  <si>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</si>
  <si>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</si>
  <si>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</si>
  <si>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</si>
  <si>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</si>
  <si>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</si>
  <si>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Jack Endries</t>
  </si>
  <si>
    <t>Matthew Hibner</t>
  </si>
  <si>
    <t>Ed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</si>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</sst>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11</v>
      </c>
      <c r="L1" s="8" t="s">
        <v>13</v>
      </c>
      <c r="M1" s="4">
        <v>12.0</v>
      </c>
      <c r="N1" s="10"/>
      <c r="O1" s="7" t="s">
        <v>17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9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24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9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9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9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50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9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9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9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104</v>
      </c>
      <c r="P29" s="7" t="s">
        <v>105</v>
      </c>
      <c r="Q29" s="10"/>
      <c r="R29" s="7" t="s">
        <v>106</v>
      </c>
      <c r="S29" s="7" t="s">
        <v>107</v>
      </c>
      <c r="T29" s="7" t="s">
        <v>108</v>
      </c>
      <c r="U29" s="10"/>
      <c r="V29" s="7" t="s">
        <v>109</v>
      </c>
      <c r="W29" s="7" t="s">
        <v>110</v>
      </c>
      <c r="X29" s="7" t="s">
        <v>111</v>
      </c>
      <c r="Y29" s="7" t="s">
        <v>112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4">
        <v>1.0</v>
      </c>
      <c r="P30" s="7" t="s">
        <v>115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109</v>
      </c>
      <c r="P44" s="7" t="s">
        <v>17</v>
      </c>
      <c r="Q44" s="7" t="s">
        <v>134</v>
      </c>
      <c r="R44" s="7" t="s">
        <v>105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115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51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47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49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113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119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9</v>
      </c>
      <c r="D1" s="6" t="s">
        <v>10</v>
      </c>
      <c r="E1" s="6" t="s">
        <v>12</v>
      </c>
      <c r="F1" s="9" t="s">
        <v>14</v>
      </c>
      <c r="G1" s="9" t="s">
        <v>15</v>
      </c>
      <c r="H1" s="9" t="s">
        <v>16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25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6" t="s">
        <v>26</v>
      </c>
      <c r="L4" s="9">
        <f>'Draft Data'!U63</f>
        <v>180</v>
      </c>
    </row>
    <row r="5">
      <c r="A5" s="6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6" t="s">
        <v>28</v>
      </c>
      <c r="L5" s="18">
        <f>SUM($D$2:$D$500)
</f>
        <v>0</v>
      </c>
    </row>
    <row r="6">
      <c r="A6" s="6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6" t="s">
        <v>30</v>
      </c>
      <c r="L6" s="18">
        <f>L2-L5
</f>
        <v>1200</v>
      </c>
    </row>
    <row r="7">
      <c r="A7" s="6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6" t="s">
        <v>32</v>
      </c>
      <c r="L7" s="18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6" t="s">
        <v>37</v>
      </c>
      <c r="L9" s="12">
        <f>L6-L8
</f>
        <v>1020</v>
      </c>
    </row>
    <row r="10">
      <c r="A10" s="6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6" t="s">
        <v>39</v>
      </c>
      <c r="L10" s="12">
        <f>IF(L3&gt;1,L9/(L3-1),0)</f>
        <v>92.72727273</v>
      </c>
    </row>
    <row r="11">
      <c r="A11" s="6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6" t="s">
        <v>42</v>
      </c>
      <c r="L11" s="19">
        <f>IF(L10&gt;0,L8/L10,1)</f>
        <v>1.941176471</v>
      </c>
    </row>
    <row r="12">
      <c r="A12" s="6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6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6" t="s">
        <v>45</v>
      </c>
      <c r="L13" s="18">
        <f>SUMIF($D$2:$D$73,"",$C$2:$C$73)</f>
        <v>1200</v>
      </c>
    </row>
    <row r="14">
      <c r="A14" s="6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6" t="s">
        <v>48</v>
      </c>
      <c r="L14" s="19">
        <f>IF(L13&gt;0,L6/L13,1)</f>
        <v>1</v>
      </c>
    </row>
    <row r="15">
      <c r="A15" s="6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6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6" t="s">
        <v>52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6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6" t="s">
        <v>56</v>
      </c>
      <c r="L18" s="20">
        <f>L5/L2</f>
        <v>0</v>
      </c>
    </row>
    <row r="19">
      <c r="A19" s="6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6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6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6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6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6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6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6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6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6" t="s">
        <v>66</v>
      </c>
      <c r="L27" s="6">
        <v>0.8</v>
      </c>
    </row>
    <row r="28">
      <c r="A28" s="6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6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6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6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6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6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6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6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6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6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6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6">
        <v>64.0</v>
      </c>
      <c r="B65" s="11" t="s">
        <v>113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6">
        <v>65.0</v>
      </c>
      <c r="B66" s="11" t="s">
        <v>114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6">
        <v>66.0</v>
      </c>
      <c r="B67" s="11" t="s">
        <v>116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6">
        <v>67.0</v>
      </c>
      <c r="B68" s="11" t="s">
        <v>117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6">
        <v>68.0</v>
      </c>
      <c r="B69" s="11" t="s">
        <v>118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6">
        <v>69.0</v>
      </c>
      <c r="B70" s="11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6">
        <v>70.0</v>
      </c>
      <c r="B71" s="11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6">
        <v>71.0</v>
      </c>
      <c r="B72" s="11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6">
        <v>72.0</v>
      </c>
      <c r="B73" s="6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